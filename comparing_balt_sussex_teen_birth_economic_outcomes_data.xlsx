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tthewhurlock/Downloads/"/>
    </mc:Choice>
  </mc:AlternateContent>
  <xr:revisionPtr revIDLastSave="0" documentId="13_ncr:40009_{1A9D7144-562F-7C4E-ADB8-6FF08106DCCD}" xr6:coauthVersionLast="46" xr6:coauthVersionMax="46" xr10:uidLastSave="{00000000-0000-0000-0000-000000000000}"/>
  <bookViews>
    <workbookView xWindow="1180" yWindow="460" windowWidth="24640" windowHeight="13260" firstSheet="1" activeTab="1"/>
  </bookViews>
  <sheets>
    <sheet name="Combined Raw Data" sheetId="13" r:id="rId1"/>
    <sheet name="Balt Sussex Combined" sheetId="12" r:id="rId2"/>
    <sheet name="Baltimore" sheetId="1" r:id="rId3"/>
    <sheet name="Balt Poverty" sheetId="4" r:id="rId4"/>
    <sheet name="Balt Teen to Single" sheetId="10" r:id="rId5"/>
    <sheet name="Sussex County" sheetId="2" r:id="rId6"/>
    <sheet name="Sussex Poverty" sheetId="5" r:id="rId7"/>
    <sheet name="Sussex Teen to Single" sheetId="11" r:id="rId8"/>
  </sheets>
  <externalReferences>
    <externalReference r:id="rId9"/>
    <externalReference r:id="rId10"/>
    <externalReference r:id="rId11"/>
    <externalReference r:id="rId12"/>
    <externalReference r:id="rId13"/>
  </externalReferenc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L6" i="12" l="1"/>
  <c r="M8" i="12"/>
  <c r="M7" i="12"/>
  <c r="M6" i="12"/>
  <c r="K6" i="12"/>
  <c r="L8" i="12"/>
  <c r="L7" i="12"/>
  <c r="J6" i="12"/>
  <c r="K8" i="12"/>
  <c r="K7" i="12"/>
  <c r="J8" i="12"/>
  <c r="J7" i="1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3" i="1"/>
  <c r="E4" i="1"/>
  <c r="E5" i="1"/>
  <c r="E6" i="1"/>
  <c r="E7" i="1"/>
  <c r="E2" i="1"/>
</calcChain>
</file>

<file path=xl/sharedStrings.xml><?xml version="1.0" encoding="utf-8"?>
<sst xmlns="http://purl.oclc.org/ooxml/spreadsheetml/main" count="978" uniqueCount="205">
  <si>
    <t>tract</t>
  </si>
  <si>
    <t>Name</t>
  </si>
  <si>
    <t>Evergreen, Baltimore, MD</t>
  </si>
  <si>
    <t>Mount Washington, Baltimore, MD</t>
  </si>
  <si>
    <t>Roland Park, Baltimore, MD</t>
  </si>
  <si>
    <t>Homeland, Baltimore, MD</t>
  </si>
  <si>
    <t>Mid-Charles, Baltimore, MD</t>
  </si>
  <si>
    <t>Tuscany - Canterbury, Baltimore, MD</t>
  </si>
  <si>
    <t>Cross Country, Baltimore, MD</t>
  </si>
  <si>
    <t>Baltimore, MD</t>
  </si>
  <si>
    <t>North Harford Road, Baltimore, MD</t>
  </si>
  <si>
    <t>Cheswolde, Baltimore, MD</t>
  </si>
  <si>
    <t>Woodring, Baltimore, MD</t>
  </si>
  <si>
    <t>Cross Keys, Baltimore, MD</t>
  </si>
  <si>
    <t>Glenham-Belford, Baltimore, MD</t>
  </si>
  <si>
    <t>Lake Walker, Baltimore, MD</t>
  </si>
  <si>
    <t>Waltherson, Baltimore, MD</t>
  </si>
  <si>
    <t>Canton, Baltimore, MD</t>
  </si>
  <si>
    <t>Arcadia, Baltimore, MD</t>
  </si>
  <si>
    <t>Radnor - Winston, Baltimore, MD</t>
  </si>
  <si>
    <t>Harford - Echodale - Perring Parkway, Baltimore, MD</t>
  </si>
  <si>
    <t>Glen, Baltimore, MD</t>
  </si>
  <si>
    <t>Hampden, Baltimore, MD</t>
  </si>
  <si>
    <t>Cold Springs, Baltimore, MD</t>
  </si>
  <si>
    <t>Lauraville, Baltimore, MD</t>
  </si>
  <si>
    <t>Fallstaff, Baltimore, MD</t>
  </si>
  <si>
    <t>Westgate, Baltimore, MD</t>
  </si>
  <si>
    <t>Bolton Hill, Baltimore, MD</t>
  </si>
  <si>
    <t>Joseph Lee, Baltimore, MD</t>
  </si>
  <si>
    <t>Medfield, Baltimore, MD</t>
  </si>
  <si>
    <t>Cedmont, Baltimore, MD</t>
  </si>
  <si>
    <t>Upper Fells Point, Baltimore, MD</t>
  </si>
  <si>
    <t>Downtown, Baltimore, MD</t>
  </si>
  <si>
    <t>Woodberry, Baltimore, MD</t>
  </si>
  <si>
    <t>Fifteenth Street, Baltimore, MD</t>
  </si>
  <si>
    <t>Hillen, Baltimore, MD</t>
  </si>
  <si>
    <t>Belair - Edison, Baltimore, MD</t>
  </si>
  <si>
    <t>Ednor Gardens - Lakeside, Baltimore, MD</t>
  </si>
  <si>
    <t>Ramblewood, Baltimore, MD</t>
  </si>
  <si>
    <t>Patterson Park, Baltimore, MD</t>
  </si>
  <si>
    <t>Frankford, Baltimore, MD</t>
  </si>
  <si>
    <t>Loch Raven, Baltimore, MD</t>
  </si>
  <si>
    <t>Baltimore Highlands, Baltimore, MD</t>
  </si>
  <si>
    <t>Armistead Gardens, Baltimore, MD</t>
  </si>
  <si>
    <t>Idlewood, Baltimore, MD</t>
  </si>
  <si>
    <t>Perring Loch, Baltimore, MD</t>
  </si>
  <si>
    <t>East Arlington, Baltimore, MD</t>
  </si>
  <si>
    <t>New Northwood, Baltimore, MD</t>
  </si>
  <si>
    <t>Mid-Govans, Baltimore, MD</t>
  </si>
  <si>
    <t>Gwynn Oak, Baltimore, MD</t>
  </si>
  <si>
    <t>Little Italy, Baltimore, MD</t>
  </si>
  <si>
    <t>Rognel Heights, Baltimore, MD</t>
  </si>
  <si>
    <t>Walbrook, Baltimore, MD</t>
  </si>
  <si>
    <t>Irvington, Baltimore, MD</t>
  </si>
  <si>
    <t>West Forest Park, Baltimore, MD</t>
  </si>
  <si>
    <t>Hanlon Longwood, Baltimore, MD</t>
  </si>
  <si>
    <t>Parkside, Baltimore, MD</t>
  </si>
  <si>
    <t>Garwyn Oaks, Baltimore, MD</t>
  </si>
  <si>
    <t>Remington, Baltimore, MD</t>
  </si>
  <si>
    <t>Allendale, Baltimore, MD</t>
  </si>
  <si>
    <t>Windsor Hills, Baltimore, MD</t>
  </si>
  <si>
    <t>Burleith-Leighton, Baltimore, MD</t>
  </si>
  <si>
    <t>Winston - Govans, Baltimore, MD</t>
  </si>
  <si>
    <t>Better Waverly, Baltimore, MD</t>
  </si>
  <si>
    <t>Reisterstown Station, Baltimore, MD</t>
  </si>
  <si>
    <t>Edmondson, Baltimore, MD</t>
  </si>
  <si>
    <t>Dorchester, Baltimore, MD</t>
  </si>
  <si>
    <t>Central Park Heights, Baltimore, MD</t>
  </si>
  <si>
    <t>Woodbrook, Baltimore, MD</t>
  </si>
  <si>
    <t>Old Goucher, Baltimore, MD</t>
  </si>
  <si>
    <t>Saint Joseph's, Baltimore, MD</t>
  </si>
  <si>
    <t>Darley Park, Baltimore, MD</t>
  </si>
  <si>
    <t>Poppleton, Baltimore, MD</t>
  </si>
  <si>
    <t>Cedonia, Baltimore, MD</t>
  </si>
  <si>
    <t>Arlington, Baltimore, MD</t>
  </si>
  <si>
    <t>Mosher, Baltimore, MD</t>
  </si>
  <si>
    <t>Coppin Heights, Baltimore, MD</t>
  </si>
  <si>
    <t>Harwood, Baltimore, MD</t>
  </si>
  <si>
    <t>Hollins Market, Baltimore, MD</t>
  </si>
  <si>
    <t>Park Circle, Baltimore, MD</t>
  </si>
  <si>
    <t>Bridgeview-Greenlawn, Baltimore, MD</t>
  </si>
  <si>
    <t>Coldstream - Homestead - Montebello, Baltimore, MD</t>
  </si>
  <si>
    <t>Berea, Baltimore, MD</t>
  </si>
  <si>
    <t>Rosemont, Baltimore, MD</t>
  </si>
  <si>
    <t>Lexington, Baltimore, MD</t>
  </si>
  <si>
    <t>Edgecomb, Baltimore, MD</t>
  </si>
  <si>
    <t>Reservoir Hill, Baltimore, MD</t>
  </si>
  <si>
    <t>Pratt Monroe, Baltimore, MD</t>
  </si>
  <si>
    <t>Greenmount West, Baltimore, MD</t>
  </si>
  <si>
    <t>Barclay, Baltimore, MD</t>
  </si>
  <si>
    <t>Langston Hughes, Baltimore, MD</t>
  </si>
  <si>
    <t>Butchers Hill, Baltimore, MD</t>
  </si>
  <si>
    <t>Broadway East, Baltimore, MD</t>
  </si>
  <si>
    <t>Penn North, Baltimore, MD</t>
  </si>
  <si>
    <t>Mondawmin, Baltimore, MD</t>
  </si>
  <si>
    <t>Harlem Park, Baltimore, MD</t>
  </si>
  <si>
    <t>Sandtown-Winchester, Baltimore, MD</t>
  </si>
  <si>
    <t>NW Community Action, Baltimore, MD</t>
  </si>
  <si>
    <t>Madison - Eastend, Baltimore, MD</t>
  </si>
  <si>
    <t>Perkins Homes, Baltimore, MD</t>
  </si>
  <si>
    <t>Midtown Edmondson, Baltimore, MD</t>
  </si>
  <si>
    <t>Mount Clare, Baltimore, MD</t>
  </si>
  <si>
    <t>East Baltimore Midway, Baltimore, MD</t>
  </si>
  <si>
    <t>Upton, Baltimore, MD</t>
  </si>
  <si>
    <t>Gay Street, Baltimore, MD</t>
  </si>
  <si>
    <t>Bentalou-Smallwood, Baltimore, MD</t>
  </si>
  <si>
    <t>Oliver, Baltimore, MD</t>
  </si>
  <si>
    <t>McCulloh Homes, Baltimore, MD</t>
  </si>
  <si>
    <t>Claremont - Freedom, Baltimore, MD</t>
  </si>
  <si>
    <t>Druid Heights, Baltimore, MD</t>
  </si>
  <si>
    <t>Pleasant View Gardens, Baltimore, MD</t>
  </si>
  <si>
    <t>Franklin Square, Baltimore, MD</t>
  </si>
  <si>
    <t>Shipley Hill, Baltimore, MD</t>
  </si>
  <si>
    <t>Johnson Square, Baltimore, MD</t>
  </si>
  <si>
    <t>Milton - Montford, Baltimore, MD</t>
  </si>
  <si>
    <t>Brooklyn Park, MD</t>
  </si>
  <si>
    <t>Brooklyn, Baltimore, MD</t>
  </si>
  <si>
    <t>Linthicum Heights, MD</t>
  </si>
  <si>
    <t>Catonsville, MD</t>
  </si>
  <si>
    <t>Lansdowne - Baltimore Highlands, Lansdowne, MD</t>
  </si>
  <si>
    <t>Lansdowne - Baltimore Highlands, Halethorpe, MD</t>
  </si>
  <si>
    <t>Halethorpe, MD</t>
  </si>
  <si>
    <t>Relay, Halethorpe, MD</t>
  </si>
  <si>
    <t>Fells Point, Baltimore, MD</t>
  </si>
  <si>
    <t>Mill Hill, Baltimore, MD</t>
  </si>
  <si>
    <t>Pigtown, Baltimore, MD</t>
  </si>
  <si>
    <t>South Baltimore, Baltimore, MD</t>
  </si>
  <si>
    <t>Locust Point, Baltimore, MD</t>
  </si>
  <si>
    <t>Riverside, Baltimore, MD</t>
  </si>
  <si>
    <t>Riverside Park, Baltimore, MD</t>
  </si>
  <si>
    <t>Beechfield, Baltimore, MD</t>
  </si>
  <si>
    <t>Yale Heights, Baltimore, MD</t>
  </si>
  <si>
    <t>Violetville, Baltimore, MD</t>
  </si>
  <si>
    <t>Cherry Hill, Baltimore, MD</t>
  </si>
  <si>
    <t>Lakeland, Baltimore, MD</t>
  </si>
  <si>
    <t>Morrell Park, Baltimore, MD</t>
  </si>
  <si>
    <t>Westport, Baltimore, MD</t>
  </si>
  <si>
    <t>Curtis Bay, Baltimore, MD</t>
  </si>
  <si>
    <t>O'Donnell Heights, Baltimore, MD</t>
  </si>
  <si>
    <t>Medford - Broening, Baltimore, MD</t>
  </si>
  <si>
    <t>Household_Income</t>
  </si>
  <si>
    <t>Teen_birth_rate</t>
  </si>
  <si>
    <t>Fraction_married</t>
  </si>
  <si>
    <t>Median_rent</t>
  </si>
  <si>
    <t>Poverty_rate</t>
  </si>
  <si>
    <t>Single_Parent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</si>
  <si>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</si>
  <si>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</si>
  <si>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</si>
  <si>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</si>
  <si>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</si>
  <si>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</si>
  <si>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</si>
  <si>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</si>
  <si>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</si>
  <si>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</si>
  <si>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</si>
  <si>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</si>
  <si>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</si>
  <si>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</si>
  <si>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</si>
  <si>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</si>
  <si>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</si>
  <si>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</si>
  <si>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</si>
  <si>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</si>
  <si>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</si>
  <si>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</si>
  <si>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</si>
  <si>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</si>
  <si>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Fenwick Island, DE</t>
  </si>
  <si>
    <t>Rehoboth Beach, DE</t>
  </si>
  <si>
    <t>Dagsboro, DE</t>
  </si>
  <si>
    <t>Milford, DE</t>
  </si>
  <si>
    <t>Lewes, DE</t>
  </si>
  <si>
    <t>Selbyville, DE</t>
  </si>
  <si>
    <t>Seaford, DE</t>
  </si>
  <si>
    <t>Ocean View, DE</t>
  </si>
  <si>
    <t>Georgetown, DE</t>
  </si>
  <si>
    <t>Millsboro, DE</t>
  </si>
  <si>
    <t>Houston, DE</t>
  </si>
  <si>
    <t>Laurel, DE</t>
  </si>
  <si>
    <t>Felton, DE</t>
  </si>
  <si>
    <t>Harbeson, DE</t>
  </si>
  <si>
    <t>Delmar, DE</t>
  </si>
  <si>
    <t>Bethel, DE</t>
  </si>
  <si>
    <t>Frederica, DE</t>
  </si>
  <si>
    <t>Harrington, DE</t>
  </si>
  <si>
    <t>Bridgeville, DE</t>
  </si>
  <si>
    <t>Frankford, DE</t>
  </si>
  <si>
    <t>Milton, DE</t>
  </si>
  <si>
    <t>Long Neck, DE</t>
  </si>
  <si>
    <t>Lincoln, DE</t>
  </si>
  <si>
    <t>Ellendale, DE</t>
  </si>
  <si>
    <t>Variables to predict poverty rate</t>
  </si>
  <si>
    <t>Sussex_Poverty_rate</t>
  </si>
  <si>
    <t>Sussex_Teen_birth_rate</t>
  </si>
  <si>
    <t>Sussex_Single_Parent</t>
  </si>
  <si>
    <t>Sussex</t>
  </si>
  <si>
    <t>Baltimore</t>
  </si>
  <si>
    <t>Sussex County</t>
  </si>
  <si>
    <t>Slope</t>
  </si>
  <si>
    <t>R-squared</t>
  </si>
  <si>
    <t>Teen Births vs Single Parent</t>
  </si>
  <si>
    <t>Single Parent vs Poverty Rate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</si>
</sst>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medium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externalLink" Target="externalLinks/externalLink5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externalLink" Target="externalLinks/externalLink4.xml"/><Relationship Id="rId17" Type="http://purl.oclc.org/ooxml/officeDocument/relationships/calcChain" Target="calcChain.xml"/><Relationship Id="rId2" Type="http://purl.oclc.org/ooxml/officeDocument/relationships/worksheet" Target="worksheets/sheet2.xml"/><Relationship Id="rId16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externalLink" Target="externalLinks/externalLink3.xml"/><Relationship Id="rId5" Type="http://purl.oclc.org/ooxml/officeDocument/relationships/worksheet" Target="worksheets/sheet5.xml"/><Relationship Id="rId15" Type="http://purl.oclc.org/ooxml/officeDocument/relationships/styles" Target="styles.xml"/><Relationship Id="rId10" Type="http://purl.oclc.org/ooxml/officeDocument/relationships/externalLink" Target="externalLinks/externalLink2.xml"/><Relationship Id="rId4" Type="http://purl.oclc.org/ooxml/officeDocument/relationships/worksheet" Target="worksheets/sheet4.xml"/><Relationship Id="rId9" Type="http://purl.oclc.org/ooxml/officeDocument/relationships/externalLink" Target="externalLinks/externalLink1.xml"/><Relationship Id="rId1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Teen Birth Rate vs Single Parent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Baltimore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'Balt Sussex Combined'!$C$2:$C$218</c:f>
              <c:numCache>
                <c:formatCode>General</c:formatCode>
                <c:ptCount val="217"/>
                <c:pt idx="0">
                  <c:v>0.29249999999999998</c:v>
                </c:pt>
                <c:pt idx="1">
                  <c:v>0.27779999999999999</c:v>
                </c:pt>
                <c:pt idx="2">
                  <c:v>0.31869999999999998</c:v>
                </c:pt>
                <c:pt idx="3">
                  <c:v>0.29980000000000001</c:v>
                </c:pt>
                <c:pt idx="4">
                  <c:v>0.3004</c:v>
                </c:pt>
                <c:pt idx="5">
                  <c:v>0.57430000000000003</c:v>
                </c:pt>
                <c:pt idx="6">
                  <c:v>0.4733</c:v>
                </c:pt>
                <c:pt idx="7">
                  <c:v>0.31440000000000001</c:v>
                </c:pt>
                <c:pt idx="8">
                  <c:v>0.4869</c:v>
                </c:pt>
                <c:pt idx="9">
                  <c:v>0.51639999999999997</c:v>
                </c:pt>
                <c:pt idx="10">
                  <c:v>0.51239999999999997</c:v>
                </c:pt>
                <c:pt idx="11">
                  <c:v>0.5857</c:v>
                </c:pt>
                <c:pt idx="12">
                  <c:v>0.49109999999999998</c:v>
                </c:pt>
                <c:pt idx="13">
                  <c:v>0.4677</c:v>
                </c:pt>
                <c:pt idx="14">
                  <c:v>0.55449999999999999</c:v>
                </c:pt>
                <c:pt idx="15">
                  <c:v>0.54910000000000003</c:v>
                </c:pt>
                <c:pt idx="16">
                  <c:v>0.56440000000000001</c:v>
                </c:pt>
                <c:pt idx="17">
                  <c:v>0.38290000000000002</c:v>
                </c:pt>
                <c:pt idx="18">
                  <c:v>0.55479999999999996</c:v>
                </c:pt>
                <c:pt idx="19">
                  <c:v>0.60189999999999999</c:v>
                </c:pt>
                <c:pt idx="20">
                  <c:v>0.5323</c:v>
                </c:pt>
                <c:pt idx="21">
                  <c:v>0.54790000000000005</c:v>
                </c:pt>
                <c:pt idx="22">
                  <c:v>0.53949999999999998</c:v>
                </c:pt>
                <c:pt idx="23">
                  <c:v>0.55479999999999996</c:v>
                </c:pt>
                <c:pt idx="24">
                  <c:v>0.57669999999999999</c:v>
                </c:pt>
                <c:pt idx="25">
                  <c:v>0.56299999999999994</c:v>
                </c:pt>
                <c:pt idx="26">
                  <c:v>0.58779999999999999</c:v>
                </c:pt>
                <c:pt idx="27">
                  <c:v>0.45689999999999997</c:v>
                </c:pt>
                <c:pt idx="28">
                  <c:v>0.3901</c:v>
                </c:pt>
                <c:pt idx="29">
                  <c:v>0.36099999999999999</c:v>
                </c:pt>
                <c:pt idx="30">
                  <c:v>0.55549999999999999</c:v>
                </c:pt>
                <c:pt idx="31">
                  <c:v>0.50049999999999994</c:v>
                </c:pt>
                <c:pt idx="32">
                  <c:v>0.47820000000000001</c:v>
                </c:pt>
                <c:pt idx="33">
                  <c:v>0.57530000000000003</c:v>
                </c:pt>
                <c:pt idx="34">
                  <c:v>0.55169999999999997</c:v>
                </c:pt>
                <c:pt idx="35">
                  <c:v>0.59709999999999996</c:v>
                </c:pt>
                <c:pt idx="36">
                  <c:v>0.54400000000000004</c:v>
                </c:pt>
                <c:pt idx="37">
                  <c:v>0.62790000000000001</c:v>
                </c:pt>
                <c:pt idx="38">
                  <c:v>0.34870000000000001</c:v>
                </c:pt>
                <c:pt idx="39">
                  <c:v>0.45379999999999998</c:v>
                </c:pt>
                <c:pt idx="40">
                  <c:v>1.66E-2</c:v>
                </c:pt>
                <c:pt idx="41">
                  <c:v>0.29570000000000002</c:v>
                </c:pt>
                <c:pt idx="42">
                  <c:v>8.8099999999999998E-2</c:v>
                </c:pt>
                <c:pt idx="43">
                  <c:v>0.53239999999999998</c:v>
                </c:pt>
                <c:pt idx="44">
                  <c:v>0.62729999999999997</c:v>
                </c:pt>
                <c:pt idx="45">
                  <c:v>0.54959999999999998</c:v>
                </c:pt>
                <c:pt idx="46">
                  <c:v>0.51729999999999998</c:v>
                </c:pt>
                <c:pt idx="47">
                  <c:v>0.41930000000000001</c:v>
                </c:pt>
                <c:pt idx="48">
                  <c:v>0.502</c:v>
                </c:pt>
                <c:pt idx="49">
                  <c:v>0.48559999999999998</c:v>
                </c:pt>
                <c:pt idx="50">
                  <c:v>0.55400000000000005</c:v>
                </c:pt>
                <c:pt idx="51">
                  <c:v>0.46860000000000002</c:v>
                </c:pt>
                <c:pt idx="52">
                  <c:v>0.34289999999999998</c:v>
                </c:pt>
                <c:pt idx="53">
                  <c:v>0.2571</c:v>
                </c:pt>
                <c:pt idx="54">
                  <c:v>0.1646</c:v>
                </c:pt>
                <c:pt idx="55">
                  <c:v>0.33929999999999999</c:v>
                </c:pt>
                <c:pt idx="56">
                  <c:v>0.23980000000000001</c:v>
                </c:pt>
                <c:pt idx="57">
                  <c:v>0.30719999999999997</c:v>
                </c:pt>
                <c:pt idx="58">
                  <c:v>0.30919999999999997</c:v>
                </c:pt>
                <c:pt idx="59">
                  <c:v>0.5393</c:v>
                </c:pt>
                <c:pt idx="60">
                  <c:v>0.51859999999999995</c:v>
                </c:pt>
                <c:pt idx="61">
                  <c:v>0.55110000000000003</c:v>
                </c:pt>
                <c:pt idx="62">
                  <c:v>0.55710000000000004</c:v>
                </c:pt>
                <c:pt idx="63">
                  <c:v>0.49099999999999999</c:v>
                </c:pt>
                <c:pt idx="64">
                  <c:v>0.50429999999999997</c:v>
                </c:pt>
                <c:pt idx="65">
                  <c:v>0.5413</c:v>
                </c:pt>
                <c:pt idx="66">
                  <c:v>0.52129999999999999</c:v>
                </c:pt>
                <c:pt idx="67">
                  <c:v>0.43930000000000002</c:v>
                </c:pt>
                <c:pt idx="68">
                  <c:v>0.4597</c:v>
                </c:pt>
                <c:pt idx="69">
                  <c:v>0.49559999999999998</c:v>
                </c:pt>
                <c:pt idx="70">
                  <c:v>0.40939999999999999</c:v>
                </c:pt>
                <c:pt idx="71">
                  <c:v>0.44790000000000002</c:v>
                </c:pt>
                <c:pt idx="72">
                  <c:v>0.36149999999999999</c:v>
                </c:pt>
                <c:pt idx="73">
                  <c:v>0.46310000000000001</c:v>
                </c:pt>
                <c:pt idx="74">
                  <c:v>0.52869999999999995</c:v>
                </c:pt>
                <c:pt idx="75">
                  <c:v>0.55120000000000002</c:v>
                </c:pt>
                <c:pt idx="76">
                  <c:v>0.51690000000000003</c:v>
                </c:pt>
                <c:pt idx="77">
                  <c:v>0.56930000000000003</c:v>
                </c:pt>
                <c:pt idx="78">
                  <c:v>0.5444</c:v>
                </c:pt>
                <c:pt idx="79">
                  <c:v>0.45340000000000003</c:v>
                </c:pt>
                <c:pt idx="80">
                  <c:v>0.56540000000000001</c:v>
                </c:pt>
                <c:pt idx="81">
                  <c:v>0.42420000000000002</c:v>
                </c:pt>
                <c:pt idx="82">
                  <c:v>0.46870000000000001</c:v>
                </c:pt>
                <c:pt idx="83">
                  <c:v>0.47939999999999999</c:v>
                </c:pt>
                <c:pt idx="84">
                  <c:v>0.45090000000000002</c:v>
                </c:pt>
                <c:pt idx="85">
                  <c:v>0.60740000000000005</c:v>
                </c:pt>
                <c:pt idx="86">
                  <c:v>0.58660000000000001</c:v>
                </c:pt>
                <c:pt idx="87">
                  <c:v>0.44450000000000001</c:v>
                </c:pt>
                <c:pt idx="88">
                  <c:v>0.46150000000000002</c:v>
                </c:pt>
                <c:pt idx="89">
                  <c:v>0.42609999999999998</c:v>
                </c:pt>
                <c:pt idx="90">
                  <c:v>0.53610000000000002</c:v>
                </c:pt>
                <c:pt idx="91">
                  <c:v>0.4118</c:v>
                </c:pt>
                <c:pt idx="92">
                  <c:v>0.4642</c:v>
                </c:pt>
                <c:pt idx="93">
                  <c:v>0.60780000000000001</c:v>
                </c:pt>
                <c:pt idx="94">
                  <c:v>0.50070000000000003</c:v>
                </c:pt>
                <c:pt idx="95">
                  <c:v>0.55979999999999996</c:v>
                </c:pt>
                <c:pt idx="96">
                  <c:v>0.59809999999999997</c:v>
                </c:pt>
                <c:pt idx="97">
                  <c:v>0.43409999999999999</c:v>
                </c:pt>
                <c:pt idx="98">
                  <c:v>0.47370000000000001</c:v>
                </c:pt>
                <c:pt idx="99">
                  <c:v>0.48780000000000001</c:v>
                </c:pt>
                <c:pt idx="100">
                  <c:v>0.48020000000000002</c:v>
                </c:pt>
                <c:pt idx="101">
                  <c:v>0.15759999999999999</c:v>
                </c:pt>
                <c:pt idx="102">
                  <c:v>0.33139999999999997</c:v>
                </c:pt>
                <c:pt idx="103">
                  <c:v>0.3422</c:v>
                </c:pt>
                <c:pt idx="104">
                  <c:v>0.39229999999999998</c:v>
                </c:pt>
                <c:pt idx="105">
                  <c:v>0.43230000000000002</c:v>
                </c:pt>
                <c:pt idx="106">
                  <c:v>0.36099999999999999</c:v>
                </c:pt>
                <c:pt idx="107">
                  <c:v>0.40770000000000001</c:v>
                </c:pt>
                <c:pt idx="108">
                  <c:v>0.43440000000000001</c:v>
                </c:pt>
                <c:pt idx="109">
                  <c:v>0.46810000000000002</c:v>
                </c:pt>
                <c:pt idx="110">
                  <c:v>0.28839999999999999</c:v>
                </c:pt>
                <c:pt idx="111">
                  <c:v>0.52180000000000004</c:v>
                </c:pt>
                <c:pt idx="112">
                  <c:v>0.52529999999999999</c:v>
                </c:pt>
                <c:pt idx="113">
                  <c:v>0.41199999999999998</c:v>
                </c:pt>
                <c:pt idx="114">
                  <c:v>0.19</c:v>
                </c:pt>
                <c:pt idx="115">
                  <c:v>0.23089999999999999</c:v>
                </c:pt>
                <c:pt idx="116">
                  <c:v>0.36230000000000001</c:v>
                </c:pt>
                <c:pt idx="117">
                  <c:v>0.1749</c:v>
                </c:pt>
                <c:pt idx="118">
                  <c:v>0.41589999999999999</c:v>
                </c:pt>
                <c:pt idx="119">
                  <c:v>0.29899999999999999</c:v>
                </c:pt>
                <c:pt idx="120">
                  <c:v>0.255</c:v>
                </c:pt>
                <c:pt idx="121">
                  <c:v>0.29399999999999998</c:v>
                </c:pt>
                <c:pt idx="122">
                  <c:v>0.26</c:v>
                </c:pt>
                <c:pt idx="123">
                  <c:v>0.21759999999999999</c:v>
                </c:pt>
                <c:pt idx="124">
                  <c:v>0.2016</c:v>
                </c:pt>
                <c:pt idx="125">
                  <c:v>0.29749999999999999</c:v>
                </c:pt>
                <c:pt idx="126">
                  <c:v>0.22689999999999999</c:v>
                </c:pt>
                <c:pt idx="127">
                  <c:v>0.16270000000000001</c:v>
                </c:pt>
                <c:pt idx="128">
                  <c:v>0.16789999999999999</c:v>
                </c:pt>
                <c:pt idx="129">
                  <c:v>0.1883</c:v>
                </c:pt>
                <c:pt idx="130">
                  <c:v>0.47520000000000001</c:v>
                </c:pt>
                <c:pt idx="131">
                  <c:v>0.3024</c:v>
                </c:pt>
                <c:pt idx="132">
                  <c:v>0.125</c:v>
                </c:pt>
                <c:pt idx="133">
                  <c:v>0.3029</c:v>
                </c:pt>
                <c:pt idx="134">
                  <c:v>0.39050000000000001</c:v>
                </c:pt>
                <c:pt idx="135">
                  <c:v>0.36890000000000001</c:v>
                </c:pt>
                <c:pt idx="136">
                  <c:v>0.24329999999999999</c:v>
                </c:pt>
                <c:pt idx="137">
                  <c:v>0.37730000000000002</c:v>
                </c:pt>
                <c:pt idx="138">
                  <c:v>0.44019999999999998</c:v>
                </c:pt>
                <c:pt idx="139">
                  <c:v>0.3614</c:v>
                </c:pt>
                <c:pt idx="140">
                  <c:v>0.34520000000000001</c:v>
                </c:pt>
                <c:pt idx="141">
                  <c:v>0.53269999999999995</c:v>
                </c:pt>
                <c:pt idx="142">
                  <c:v>0.48</c:v>
                </c:pt>
                <c:pt idx="143">
                  <c:v>0.1457</c:v>
                </c:pt>
                <c:pt idx="144">
                  <c:v>9.3299999999999994E-2</c:v>
                </c:pt>
                <c:pt idx="145">
                  <c:v>2.5100000000000001E-2</c:v>
                </c:pt>
                <c:pt idx="146">
                  <c:v>1.0800000000000001E-2</c:v>
                </c:pt>
                <c:pt idx="147">
                  <c:v>1.7899999999999999E-2</c:v>
                </c:pt>
                <c:pt idx="148">
                  <c:v>9.7999999999999997E-3</c:v>
                </c:pt>
                <c:pt idx="149">
                  <c:v>0.41039999999999999</c:v>
                </c:pt>
                <c:pt idx="150">
                  <c:v>0.50329999999999997</c:v>
                </c:pt>
                <c:pt idx="151">
                  <c:v>0.44550000000000001</c:v>
                </c:pt>
                <c:pt idx="152">
                  <c:v>0.50460000000000005</c:v>
                </c:pt>
                <c:pt idx="153">
                  <c:v>0.59660000000000002</c:v>
                </c:pt>
                <c:pt idx="154">
                  <c:v>0.32200000000000001</c:v>
                </c:pt>
                <c:pt idx="155">
                  <c:v>0.14219999999999999</c:v>
                </c:pt>
                <c:pt idx="156">
                  <c:v>4.3700000000000003E-2</c:v>
                </c:pt>
                <c:pt idx="157">
                  <c:v>5.8500000000000003E-2</c:v>
                </c:pt>
                <c:pt idx="158">
                  <c:v>0.24429999999999999</c:v>
                </c:pt>
                <c:pt idx="159">
                  <c:v>0.19739999999999999</c:v>
                </c:pt>
                <c:pt idx="160">
                  <c:v>0.38819999999999999</c:v>
                </c:pt>
                <c:pt idx="161">
                  <c:v>0.35449999999999998</c:v>
                </c:pt>
                <c:pt idx="162">
                  <c:v>0.45190000000000002</c:v>
                </c:pt>
                <c:pt idx="163">
                  <c:v>0.46639999999999998</c:v>
                </c:pt>
                <c:pt idx="164">
                  <c:v>0.30430000000000001</c:v>
                </c:pt>
                <c:pt idx="165">
                  <c:v>0.28670000000000001</c:v>
                </c:pt>
                <c:pt idx="166">
                  <c:v>0.40550000000000003</c:v>
                </c:pt>
                <c:pt idx="167">
                  <c:v>0.2863</c:v>
                </c:pt>
                <c:pt idx="168">
                  <c:v>0.43099999999999999</c:v>
                </c:pt>
                <c:pt idx="169">
                  <c:v>0.65959999999999996</c:v>
                </c:pt>
                <c:pt idx="170">
                  <c:v>0.29520000000000002</c:v>
                </c:pt>
                <c:pt idx="171">
                  <c:v>0.30349999999999999</c:v>
                </c:pt>
                <c:pt idx="172">
                  <c:v>0.24660000000000001</c:v>
                </c:pt>
                <c:pt idx="173">
                  <c:v>0.21990000000000001</c:v>
                </c:pt>
                <c:pt idx="174">
                  <c:v>0.33050000000000002</c:v>
                </c:pt>
                <c:pt idx="175">
                  <c:v>0.19420000000000001</c:v>
                </c:pt>
                <c:pt idx="176">
                  <c:v>0.1149</c:v>
                </c:pt>
                <c:pt idx="177">
                  <c:v>0.1113</c:v>
                </c:pt>
                <c:pt idx="178">
                  <c:v>0.10489999999999999</c:v>
                </c:pt>
                <c:pt idx="179">
                  <c:v>0.32600000000000001</c:v>
                </c:pt>
                <c:pt idx="180">
                  <c:v>0.18590000000000001</c:v>
                </c:pt>
                <c:pt idx="181">
                  <c:v>0.22289999999999999</c:v>
                </c:pt>
                <c:pt idx="182">
                  <c:v>0.26200000000000001</c:v>
                </c:pt>
                <c:pt idx="183">
                  <c:v>0.17380000000000001</c:v>
                </c:pt>
                <c:pt idx="184">
                  <c:v>7.2300000000000003E-2</c:v>
                </c:pt>
                <c:pt idx="185">
                  <c:v>0.12709999999999999</c:v>
                </c:pt>
                <c:pt idx="186">
                  <c:v>0.1535</c:v>
                </c:pt>
                <c:pt idx="187">
                  <c:v>0.22720000000000001</c:v>
                </c:pt>
                <c:pt idx="188">
                  <c:v>0.23219999999999999</c:v>
                </c:pt>
                <c:pt idx="189">
                  <c:v>0.20880000000000001</c:v>
                </c:pt>
                <c:pt idx="190">
                  <c:v>0.1467</c:v>
                </c:pt>
                <c:pt idx="191">
                  <c:v>0.4511</c:v>
                </c:pt>
                <c:pt idx="192">
                  <c:v>0.4264</c:v>
                </c:pt>
                <c:pt idx="193">
                  <c:v>0.49469999999999997</c:v>
                </c:pt>
                <c:pt idx="194">
                  <c:v>0.24</c:v>
                </c:pt>
                <c:pt idx="195">
                  <c:v>0.3009</c:v>
                </c:pt>
                <c:pt idx="196">
                  <c:v>0.31040000000000001</c:v>
                </c:pt>
                <c:pt idx="197">
                  <c:v>0.25569999999999998</c:v>
                </c:pt>
                <c:pt idx="198">
                  <c:v>0.1923</c:v>
                </c:pt>
                <c:pt idx="199">
                  <c:v>0.20730000000000001</c:v>
                </c:pt>
                <c:pt idx="200">
                  <c:v>0.24160000000000001</c:v>
                </c:pt>
                <c:pt idx="201">
                  <c:v>0.41420000000000001</c:v>
                </c:pt>
                <c:pt idx="202">
                  <c:v>0.40870000000000001</c:v>
                </c:pt>
                <c:pt idx="203">
                  <c:v>0.17810000000000001</c:v>
                </c:pt>
                <c:pt idx="204">
                  <c:v>0.51390000000000002</c:v>
                </c:pt>
                <c:pt idx="205">
                  <c:v>0.65610000000000002</c:v>
                </c:pt>
                <c:pt idx="206">
                  <c:v>0.36259999999999998</c:v>
                </c:pt>
                <c:pt idx="207">
                  <c:v>0.24829999999999999</c:v>
                </c:pt>
                <c:pt idx="208">
                  <c:v>0.504</c:v>
                </c:pt>
                <c:pt idx="209">
                  <c:v>0.52680000000000005</c:v>
                </c:pt>
                <c:pt idx="210">
                  <c:v>0.35339999999999999</c:v>
                </c:pt>
                <c:pt idx="211">
                  <c:v>0.25419999999999998</c:v>
                </c:pt>
                <c:pt idx="212">
                  <c:v>0.4078</c:v>
                </c:pt>
                <c:pt idx="213">
                  <c:v>0.35599999999999998</c:v>
                </c:pt>
                <c:pt idx="214">
                  <c:v>0.4612</c:v>
                </c:pt>
                <c:pt idx="215">
                  <c:v>0.5111</c:v>
                </c:pt>
                <c:pt idx="216">
                  <c:v>0.29160000000000003</c:v>
                </c:pt>
              </c:numCache>
            </c:numRef>
          </c:xVal>
          <c:yVal>
            <c:numRef>
              <c:f>'Balt Sussex Combined'!$D$2:$D$218</c:f>
              <c:numCache>
                <c:formatCode>General</c:formatCode>
                <c:ptCount val="217"/>
                <c:pt idx="0">
                  <c:v>0.15870000000000001</c:v>
                </c:pt>
                <c:pt idx="1">
                  <c:v>8.6400000000000005E-2</c:v>
                </c:pt>
                <c:pt idx="2">
                  <c:v>0.29730000000000001</c:v>
                </c:pt>
                <c:pt idx="3">
                  <c:v>0.42220000000000002</c:v>
                </c:pt>
                <c:pt idx="4">
                  <c:v>0.47789999999999999</c:v>
                </c:pt>
                <c:pt idx="5">
                  <c:v>0.92120000000000002</c:v>
                </c:pt>
                <c:pt idx="6">
                  <c:v>0.5635</c:v>
                </c:pt>
                <c:pt idx="7">
                  <c:v>0</c:v>
                </c:pt>
                <c:pt idx="8">
                  <c:v>0</c:v>
                </c:pt>
                <c:pt idx="9">
                  <c:v>0.78680000000000005</c:v>
                </c:pt>
                <c:pt idx="10">
                  <c:v>0.40839999999999999</c:v>
                </c:pt>
                <c:pt idx="11">
                  <c:v>0.64229999999999998</c:v>
                </c:pt>
                <c:pt idx="12">
                  <c:v>0.5</c:v>
                </c:pt>
                <c:pt idx="13">
                  <c:v>0.84870000000000001</c:v>
                </c:pt>
                <c:pt idx="14">
                  <c:v>0.87849999999999995</c:v>
                </c:pt>
                <c:pt idx="15">
                  <c:v>0.54079999999999995</c:v>
                </c:pt>
                <c:pt idx="16">
                  <c:v>0.80620000000000003</c:v>
                </c:pt>
                <c:pt idx="17">
                  <c:v>0.65100000000000002</c:v>
                </c:pt>
                <c:pt idx="18">
                  <c:v>0.71199999999999997</c:v>
                </c:pt>
                <c:pt idx="19">
                  <c:v>0.60470000000000002</c:v>
                </c:pt>
                <c:pt idx="20">
                  <c:v>0.93279999999999996</c:v>
                </c:pt>
                <c:pt idx="21">
                  <c:v>0.68640000000000001</c:v>
                </c:pt>
                <c:pt idx="22">
                  <c:v>0.76529999999999998</c:v>
                </c:pt>
                <c:pt idx="23">
                  <c:v>0.84140000000000004</c:v>
                </c:pt>
                <c:pt idx="24">
                  <c:v>0.9385</c:v>
                </c:pt>
                <c:pt idx="25">
                  <c:v>1</c:v>
                </c:pt>
                <c:pt idx="26">
                  <c:v>0.97009999999999996</c:v>
                </c:pt>
                <c:pt idx="27">
                  <c:v>0.4728</c:v>
                </c:pt>
                <c:pt idx="28">
                  <c:v>0.44529999999999997</c:v>
                </c:pt>
                <c:pt idx="29">
                  <c:v>0.29930000000000001</c:v>
                </c:pt>
                <c:pt idx="30">
                  <c:v>0.78790000000000004</c:v>
                </c:pt>
                <c:pt idx="31">
                  <c:v>0.63590000000000002</c:v>
                </c:pt>
                <c:pt idx="32">
                  <c:v>0.85140000000000005</c:v>
                </c:pt>
                <c:pt idx="33">
                  <c:v>0.97789999999999999</c:v>
                </c:pt>
                <c:pt idx="34">
                  <c:v>0.95630000000000004</c:v>
                </c:pt>
                <c:pt idx="35">
                  <c:v>1</c:v>
                </c:pt>
                <c:pt idx="36">
                  <c:v>0.71899999999999997</c:v>
                </c:pt>
                <c:pt idx="37">
                  <c:v>0.97760000000000002</c:v>
                </c:pt>
                <c:pt idx="38">
                  <c:v>1</c:v>
                </c:pt>
                <c:pt idx="39">
                  <c:v>0</c:v>
                </c:pt>
                <c:pt idx="40">
                  <c:v>0.2772</c:v>
                </c:pt>
                <c:pt idx="41">
                  <c:v>0.18459999999999999</c:v>
                </c:pt>
                <c:pt idx="42">
                  <c:v>0</c:v>
                </c:pt>
                <c:pt idx="43">
                  <c:v>0.60070000000000001</c:v>
                </c:pt>
                <c:pt idx="44">
                  <c:v>0.74419999999999997</c:v>
                </c:pt>
                <c:pt idx="45">
                  <c:v>0.7571</c:v>
                </c:pt>
                <c:pt idx="46">
                  <c:v>0.91300000000000003</c:v>
                </c:pt>
                <c:pt idx="47">
                  <c:v>0.32319999999999999</c:v>
                </c:pt>
                <c:pt idx="48">
                  <c:v>0.71289999999999998</c:v>
                </c:pt>
                <c:pt idx="49">
                  <c:v>0.85709999999999997</c:v>
                </c:pt>
                <c:pt idx="50">
                  <c:v>0.6915</c:v>
                </c:pt>
                <c:pt idx="51">
                  <c:v>0.64410000000000001</c:v>
                </c:pt>
                <c:pt idx="52">
                  <c:v>0.2492</c:v>
                </c:pt>
                <c:pt idx="53">
                  <c:v>3.4599999999999999E-2</c:v>
                </c:pt>
                <c:pt idx="54">
                  <c:v>0.39860000000000001</c:v>
                </c:pt>
                <c:pt idx="55">
                  <c:v>0.63490000000000002</c:v>
                </c:pt>
                <c:pt idx="56">
                  <c:v>0.55769999999999997</c:v>
                </c:pt>
                <c:pt idx="57">
                  <c:v>0.5222</c:v>
                </c:pt>
                <c:pt idx="58">
                  <c:v>0</c:v>
                </c:pt>
                <c:pt idx="59">
                  <c:v>0.98080000000000001</c:v>
                </c:pt>
                <c:pt idx="60">
                  <c:v>0.74919999999999998</c:v>
                </c:pt>
                <c:pt idx="61">
                  <c:v>1</c:v>
                </c:pt>
                <c:pt idx="62">
                  <c:v>0.6512</c:v>
                </c:pt>
                <c:pt idx="63">
                  <c:v>0.55559999999999998</c:v>
                </c:pt>
                <c:pt idx="64">
                  <c:v>0.79490000000000005</c:v>
                </c:pt>
                <c:pt idx="65">
                  <c:v>0.86870000000000003</c:v>
                </c:pt>
                <c:pt idx="66">
                  <c:v>0.85489999999999999</c:v>
                </c:pt>
                <c:pt idx="67">
                  <c:v>0.82179999999999997</c:v>
                </c:pt>
                <c:pt idx="68">
                  <c:v>0.89600000000000002</c:v>
                </c:pt>
                <c:pt idx="69">
                  <c:v>0.81720000000000004</c:v>
                </c:pt>
                <c:pt idx="70">
                  <c:v>0.49609999999999999</c:v>
                </c:pt>
                <c:pt idx="71">
                  <c:v>0.80669999999999997</c:v>
                </c:pt>
                <c:pt idx="72">
                  <c:v>0.7823</c:v>
                </c:pt>
                <c:pt idx="73">
                  <c:v>0.73080000000000001</c:v>
                </c:pt>
                <c:pt idx="74">
                  <c:v>0.7681</c:v>
                </c:pt>
                <c:pt idx="75">
                  <c:v>0.85619999999999996</c:v>
                </c:pt>
                <c:pt idx="76">
                  <c:v>0.83789999999999998</c:v>
                </c:pt>
                <c:pt idx="77">
                  <c:v>0.85229999999999995</c:v>
                </c:pt>
                <c:pt idx="78">
                  <c:v>0.90780000000000005</c:v>
                </c:pt>
                <c:pt idx="79">
                  <c:v>0.69310000000000005</c:v>
                </c:pt>
                <c:pt idx="80">
                  <c:v>0.88</c:v>
                </c:pt>
                <c:pt idx="81">
                  <c:v>0.7147</c:v>
                </c:pt>
                <c:pt idx="82">
                  <c:v>0.73240000000000005</c:v>
                </c:pt>
                <c:pt idx="83">
                  <c:v>0.75929999999999997</c:v>
                </c:pt>
                <c:pt idx="84">
                  <c:v>0.93330000000000002</c:v>
                </c:pt>
                <c:pt idx="85">
                  <c:v>0.89929999999999999</c:v>
                </c:pt>
                <c:pt idx="86">
                  <c:v>0.94069999999999998</c:v>
                </c:pt>
                <c:pt idx="87">
                  <c:v>0.98299999999999998</c:v>
                </c:pt>
                <c:pt idx="88">
                  <c:v>0.66669999999999996</c:v>
                </c:pt>
                <c:pt idx="89">
                  <c:v>0.8478</c:v>
                </c:pt>
                <c:pt idx="90">
                  <c:v>0.97450000000000003</c:v>
                </c:pt>
                <c:pt idx="91">
                  <c:v>0.73680000000000001</c:v>
                </c:pt>
                <c:pt idx="92">
                  <c:v>0.64470000000000005</c:v>
                </c:pt>
                <c:pt idx="93">
                  <c:v>0.66339999999999999</c:v>
                </c:pt>
                <c:pt idx="94">
                  <c:v>0.44550000000000001</c:v>
                </c:pt>
                <c:pt idx="95">
                  <c:v>0.92379999999999995</c:v>
                </c:pt>
                <c:pt idx="96">
                  <c:v>0.81330000000000002</c:v>
                </c:pt>
                <c:pt idx="97">
                  <c:v>0.59860000000000002</c:v>
                </c:pt>
                <c:pt idx="98">
                  <c:v>0.74339999999999995</c:v>
                </c:pt>
                <c:pt idx="99">
                  <c:v>0.85919999999999996</c:v>
                </c:pt>
                <c:pt idx="100">
                  <c:v>0.75839999999999996</c:v>
                </c:pt>
                <c:pt idx="101">
                  <c:v>0.51949999999999996</c:v>
                </c:pt>
                <c:pt idx="102">
                  <c:v>0.60540000000000005</c:v>
                </c:pt>
                <c:pt idx="103">
                  <c:v>0.55700000000000005</c:v>
                </c:pt>
                <c:pt idx="104">
                  <c:v>0.5615</c:v>
                </c:pt>
                <c:pt idx="105">
                  <c:v>0.56340000000000001</c:v>
                </c:pt>
                <c:pt idx="106">
                  <c:v>0.65939999999999999</c:v>
                </c:pt>
                <c:pt idx="107">
                  <c:v>0.85919999999999996</c:v>
                </c:pt>
                <c:pt idx="108">
                  <c:v>0.89059999999999995</c:v>
                </c:pt>
                <c:pt idx="109">
                  <c:v>0.86760000000000004</c:v>
                </c:pt>
                <c:pt idx="110">
                  <c:v>0.51329999999999998</c:v>
                </c:pt>
                <c:pt idx="111">
                  <c:v>0.67410000000000003</c:v>
                </c:pt>
                <c:pt idx="112">
                  <c:v>0.79059999999999997</c:v>
                </c:pt>
                <c:pt idx="113">
                  <c:v>0.70140000000000002</c:v>
                </c:pt>
                <c:pt idx="114">
                  <c:v>0.44700000000000001</c:v>
                </c:pt>
                <c:pt idx="115">
                  <c:v>0.44</c:v>
                </c:pt>
                <c:pt idx="116">
                  <c:v>0.38119999999999998</c:v>
                </c:pt>
                <c:pt idx="117">
                  <c:v>0.30070000000000002</c:v>
                </c:pt>
                <c:pt idx="118">
                  <c:v>0.31380000000000002</c:v>
                </c:pt>
                <c:pt idx="119">
                  <c:v>0.1079</c:v>
                </c:pt>
                <c:pt idx="120">
                  <c:v>0.58330000000000004</c:v>
                </c:pt>
                <c:pt idx="121">
                  <c:v>0.46379999999999999</c:v>
                </c:pt>
                <c:pt idx="122">
                  <c:v>0.33329999999999999</c:v>
                </c:pt>
                <c:pt idx="123">
                  <c:v>0.31850000000000001</c:v>
                </c:pt>
                <c:pt idx="124">
                  <c:v>0.25359999999999999</c:v>
                </c:pt>
                <c:pt idx="125">
                  <c:v>0.7127</c:v>
                </c:pt>
                <c:pt idx="126">
                  <c:v>0.18809999999999999</c:v>
                </c:pt>
                <c:pt idx="127">
                  <c:v>0.14630000000000001</c:v>
                </c:pt>
                <c:pt idx="128">
                  <c:v>0.44440000000000002</c:v>
                </c:pt>
                <c:pt idx="129">
                  <c:v>0.37030000000000002</c:v>
                </c:pt>
                <c:pt idx="130">
                  <c:v>0.77839999999999998</c:v>
                </c:pt>
                <c:pt idx="131">
                  <c:v>0.92789999999999995</c:v>
                </c:pt>
                <c:pt idx="132">
                  <c:v>7.0699999999999999E-2</c:v>
                </c:pt>
                <c:pt idx="133">
                  <c:v>0.60119999999999996</c:v>
                </c:pt>
                <c:pt idx="134">
                  <c:v>0.625</c:v>
                </c:pt>
                <c:pt idx="135">
                  <c:v>0.48859999999999998</c:v>
                </c:pt>
                <c:pt idx="136">
                  <c:v>0.45450000000000002</c:v>
                </c:pt>
                <c:pt idx="137">
                  <c:v>0.69189999999999996</c:v>
                </c:pt>
                <c:pt idx="138">
                  <c:v>0.45040000000000002</c:v>
                </c:pt>
                <c:pt idx="139">
                  <c:v>0.75660000000000005</c:v>
                </c:pt>
                <c:pt idx="140">
                  <c:v>0.69789999999999996</c:v>
                </c:pt>
                <c:pt idx="141">
                  <c:v>0.85909999999999997</c:v>
                </c:pt>
                <c:pt idx="142">
                  <c:v>0.87060000000000004</c:v>
                </c:pt>
                <c:pt idx="143">
                  <c:v>0.36299999999999999</c:v>
                </c:pt>
                <c:pt idx="144">
                  <c:v>7.2400000000000006E-2</c:v>
                </c:pt>
                <c:pt idx="145">
                  <c:v>9.8900000000000002E-2</c:v>
                </c:pt>
                <c:pt idx="146">
                  <c:v>9.7900000000000001E-2</c:v>
                </c:pt>
                <c:pt idx="147">
                  <c:v>0.2205</c:v>
                </c:pt>
                <c:pt idx="148">
                  <c:v>0.1426</c:v>
                </c:pt>
                <c:pt idx="149">
                  <c:v>0.31030000000000002</c:v>
                </c:pt>
                <c:pt idx="150">
                  <c:v>0.75780000000000003</c:v>
                </c:pt>
                <c:pt idx="151">
                  <c:v>0.49059999999999998</c:v>
                </c:pt>
                <c:pt idx="152">
                  <c:v>0.83250000000000002</c:v>
                </c:pt>
                <c:pt idx="153">
                  <c:v>0.95179999999999998</c:v>
                </c:pt>
                <c:pt idx="154">
                  <c:v>0.43940000000000001</c:v>
                </c:pt>
                <c:pt idx="155">
                  <c:v>0.40100000000000002</c:v>
                </c:pt>
                <c:pt idx="156">
                  <c:v>0.15409999999999999</c:v>
                </c:pt>
                <c:pt idx="157">
                  <c:v>0.125</c:v>
                </c:pt>
                <c:pt idx="158">
                  <c:v>0.39050000000000001</c:v>
                </c:pt>
                <c:pt idx="159">
                  <c:v>0.5746</c:v>
                </c:pt>
                <c:pt idx="160">
                  <c:v>0.6008</c:v>
                </c:pt>
                <c:pt idx="161">
                  <c:v>0.59009999999999996</c:v>
                </c:pt>
                <c:pt idx="162">
                  <c:v>0.58109999999999995</c:v>
                </c:pt>
                <c:pt idx="163">
                  <c:v>0.79620000000000002</c:v>
                </c:pt>
                <c:pt idx="164">
                  <c:v>0.86350000000000005</c:v>
                </c:pt>
                <c:pt idx="165">
                  <c:v>0.34870000000000001</c:v>
                </c:pt>
                <c:pt idx="166">
                  <c:v>0.5242</c:v>
                </c:pt>
                <c:pt idx="167">
                  <c:v>0.58979999999999999</c:v>
                </c:pt>
                <c:pt idx="168">
                  <c:v>0.90439999999999998</c:v>
                </c:pt>
                <c:pt idx="169">
                  <c:v>0.90869999999999995</c:v>
                </c:pt>
                <c:pt idx="170">
                  <c:v>0.3599</c:v>
                </c:pt>
                <c:pt idx="171">
                  <c:v>0.4365</c:v>
                </c:pt>
                <c:pt idx="172">
                  <c:v>0.58499999999999996</c:v>
                </c:pt>
                <c:pt idx="173">
                  <c:v>0.14460000000000001</c:v>
                </c:pt>
                <c:pt idx="174">
                  <c:v>0.16869999999999999</c:v>
                </c:pt>
                <c:pt idx="175">
                  <c:v>0.1694</c:v>
                </c:pt>
                <c:pt idx="176">
                  <c:v>0.1714</c:v>
                </c:pt>
                <c:pt idx="177">
                  <c:v>0.1217</c:v>
                </c:pt>
                <c:pt idx="178">
                  <c:v>0.51829999999999998</c:v>
                </c:pt>
                <c:pt idx="179">
                  <c:v>0.48220000000000002</c:v>
                </c:pt>
                <c:pt idx="180">
                  <c:v>0.38100000000000001</c:v>
                </c:pt>
                <c:pt idx="181">
                  <c:v>0.5534</c:v>
                </c:pt>
                <c:pt idx="182">
                  <c:v>0.78249999999999997</c:v>
                </c:pt>
                <c:pt idx="183">
                  <c:v>0.17699999999999999</c:v>
                </c:pt>
                <c:pt idx="184">
                  <c:v>0.2271</c:v>
                </c:pt>
                <c:pt idx="185">
                  <c:v>0.16250000000000001</c:v>
                </c:pt>
                <c:pt idx="186">
                  <c:v>0.38350000000000001</c:v>
                </c:pt>
                <c:pt idx="187">
                  <c:v>0.45300000000000001</c:v>
                </c:pt>
                <c:pt idx="188">
                  <c:v>0.31900000000000001</c:v>
                </c:pt>
                <c:pt idx="189">
                  <c:v>0</c:v>
                </c:pt>
                <c:pt idx="190">
                  <c:v>0.27910000000000001</c:v>
                </c:pt>
                <c:pt idx="191">
                  <c:v>0.47449999999999998</c:v>
                </c:pt>
                <c:pt idx="192">
                  <c:v>0.74590000000000001</c:v>
                </c:pt>
                <c:pt idx="193">
                  <c:v>0.7772</c:v>
                </c:pt>
                <c:pt idx="194">
                  <c:v>0.56899999999999995</c:v>
                </c:pt>
                <c:pt idx="195">
                  <c:v>0</c:v>
                </c:pt>
                <c:pt idx="196">
                  <c:v>0.13639999999999999</c:v>
                </c:pt>
                <c:pt idx="197">
                  <c:v>0.12709999999999999</c:v>
                </c:pt>
                <c:pt idx="198">
                  <c:v>8.5900000000000004E-2</c:v>
                </c:pt>
                <c:pt idx="199">
                  <c:v>0</c:v>
                </c:pt>
                <c:pt idx="200">
                  <c:v>8.6800000000000002E-2</c:v>
                </c:pt>
                <c:pt idx="201">
                  <c:v>0.874</c:v>
                </c:pt>
                <c:pt idx="202">
                  <c:v>0.8458</c:v>
                </c:pt>
                <c:pt idx="203">
                  <c:v>0.43219999999999997</c:v>
                </c:pt>
                <c:pt idx="204">
                  <c:v>0.67889999999999995</c:v>
                </c:pt>
                <c:pt idx="205">
                  <c:v>0.92759999999999998</c:v>
                </c:pt>
                <c:pt idx="206">
                  <c:v>0.59599999999999997</c:v>
                </c:pt>
                <c:pt idx="207">
                  <c:v>0.21210000000000001</c:v>
                </c:pt>
                <c:pt idx="208">
                  <c:v>0.66220000000000001</c:v>
                </c:pt>
                <c:pt idx="209">
                  <c:v>1</c:v>
                </c:pt>
                <c:pt idx="210">
                  <c:v>0.48480000000000001</c:v>
                </c:pt>
                <c:pt idx="211">
                  <c:v>0.6885</c:v>
                </c:pt>
                <c:pt idx="212">
                  <c:v>0.62929999999999997</c:v>
                </c:pt>
                <c:pt idx="213">
                  <c:v>0.65100000000000002</c:v>
                </c:pt>
                <c:pt idx="214">
                  <c:v>0</c:v>
                </c:pt>
                <c:pt idx="215">
                  <c:v>0.85599999999999998</c:v>
                </c:pt>
                <c:pt idx="216">
                  <c:v>0.43630000000000002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AB4B-90D7-AFD6E6399188}"/>
            </c:ext>
          </c:extLst>
        </c:ser>
        <c:ser>
          <c:idx val="1"/>
          <c:order val="1"/>
          <c:tx>
            <c:v>Sussex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'Balt Sussex Combined'!$C$219:$C$274</c:f>
              <c:numCache>
                <c:formatCode>General</c:formatCode>
                <c:ptCount val="56"/>
                <c:pt idx="0">
                  <c:v>8.5300000000000001E-2</c:v>
                </c:pt>
                <c:pt idx="1">
                  <c:v>0.16719999999999999</c:v>
                </c:pt>
                <c:pt idx="2">
                  <c:v>0</c:v>
                </c:pt>
                <c:pt idx="3">
                  <c:v>9.8699999999999996E-2</c:v>
                </c:pt>
                <c:pt idx="4">
                  <c:v>0.20730000000000001</c:v>
                </c:pt>
                <c:pt idx="5">
                  <c:v>6.8500000000000005E-2</c:v>
                </c:pt>
                <c:pt idx="6">
                  <c:v>0.14019999999999999</c:v>
                </c:pt>
                <c:pt idx="7">
                  <c:v>1.38E-2</c:v>
                </c:pt>
                <c:pt idx="8">
                  <c:v>2.7799999999999998E-2</c:v>
                </c:pt>
                <c:pt idx="9">
                  <c:v>9.5699999999999993E-2</c:v>
                </c:pt>
                <c:pt idx="10">
                  <c:v>0.19189999999999999</c:v>
                </c:pt>
                <c:pt idx="11">
                  <c:v>0.21709999999999999</c:v>
                </c:pt>
                <c:pt idx="12">
                  <c:v>0.12479999999999999</c:v>
                </c:pt>
                <c:pt idx="13">
                  <c:v>7.2400000000000006E-2</c:v>
                </c:pt>
                <c:pt idx="14">
                  <c:v>0.11409999999999999</c:v>
                </c:pt>
                <c:pt idx="15">
                  <c:v>0.13669999999999999</c:v>
                </c:pt>
                <c:pt idx="16">
                  <c:v>3.4000000000000002E-2</c:v>
                </c:pt>
                <c:pt idx="17">
                  <c:v>0.2218</c:v>
                </c:pt>
                <c:pt idx="18">
                  <c:v>0.13489999999999999</c:v>
                </c:pt>
                <c:pt idx="19">
                  <c:v>0.1888</c:v>
                </c:pt>
                <c:pt idx="20">
                  <c:v>2.5499999999999998E-2</c:v>
                </c:pt>
                <c:pt idx="21">
                  <c:v>0.24929999999999999</c:v>
                </c:pt>
                <c:pt idx="22">
                  <c:v>0.26889999999999997</c:v>
                </c:pt>
                <c:pt idx="23">
                  <c:v>0.13619999999999999</c:v>
                </c:pt>
                <c:pt idx="24">
                  <c:v>0.2462</c:v>
                </c:pt>
                <c:pt idx="25">
                  <c:v>0.22750000000000001</c:v>
                </c:pt>
                <c:pt idx="26">
                  <c:v>0.23530000000000001</c:v>
                </c:pt>
                <c:pt idx="27">
                  <c:v>0.2346</c:v>
                </c:pt>
                <c:pt idx="28">
                  <c:v>0.1295</c:v>
                </c:pt>
                <c:pt idx="29">
                  <c:v>0.28649999999999998</c:v>
                </c:pt>
                <c:pt idx="30">
                  <c:v>0.20230000000000001</c:v>
                </c:pt>
                <c:pt idx="31">
                  <c:v>0.2364</c:v>
                </c:pt>
                <c:pt idx="32">
                  <c:v>0.21149999999999999</c:v>
                </c:pt>
                <c:pt idx="33">
                  <c:v>0.2467</c:v>
                </c:pt>
                <c:pt idx="34">
                  <c:v>0.2102</c:v>
                </c:pt>
                <c:pt idx="35">
                  <c:v>0.2626</c:v>
                </c:pt>
                <c:pt idx="36">
                  <c:v>0.27589999999999998</c:v>
                </c:pt>
                <c:pt idx="37">
                  <c:v>0.2457</c:v>
                </c:pt>
                <c:pt idx="38">
                  <c:v>0.2487</c:v>
                </c:pt>
                <c:pt idx="39">
                  <c:v>0.1762</c:v>
                </c:pt>
                <c:pt idx="40">
                  <c:v>0.18659999999999999</c:v>
                </c:pt>
                <c:pt idx="41">
                  <c:v>0.32240000000000002</c:v>
                </c:pt>
                <c:pt idx="42">
                  <c:v>0.30520000000000003</c:v>
                </c:pt>
                <c:pt idx="43">
                  <c:v>0.20330000000000001</c:v>
                </c:pt>
                <c:pt idx="44">
                  <c:v>0.25109999999999999</c:v>
                </c:pt>
                <c:pt idx="45">
                  <c:v>0.20399999999999999</c:v>
                </c:pt>
                <c:pt idx="46">
                  <c:v>0.2757</c:v>
                </c:pt>
                <c:pt idx="47">
                  <c:v>0.33850000000000002</c:v>
                </c:pt>
                <c:pt idx="48">
                  <c:v>0.22600000000000001</c:v>
                </c:pt>
                <c:pt idx="49">
                  <c:v>0.29549999999999998</c:v>
                </c:pt>
                <c:pt idx="50">
                  <c:v>0.1983</c:v>
                </c:pt>
                <c:pt idx="51">
                  <c:v>0.21890000000000001</c:v>
                </c:pt>
                <c:pt idx="52">
                  <c:v>0.39689999999999998</c:v>
                </c:pt>
                <c:pt idx="53">
                  <c:v>0.29609999999999997</c:v>
                </c:pt>
                <c:pt idx="54">
                  <c:v>0.32040000000000002</c:v>
                </c:pt>
                <c:pt idx="55">
                  <c:v>0.34849999999999998</c:v>
                </c:pt>
              </c:numCache>
            </c:numRef>
          </c:xVal>
          <c:yVal>
            <c:numRef>
              <c:f>'Balt Sussex Combined'!$D$219:$D$274</c:f>
              <c:numCache>
                <c:formatCode>General</c:formatCode>
                <c:ptCount val="56"/>
                <c:pt idx="0">
                  <c:v>0</c:v>
                </c:pt>
                <c:pt idx="1">
                  <c:v>0.90910000000000002</c:v>
                </c:pt>
                <c:pt idx="2">
                  <c:v>0.16669999999999999</c:v>
                </c:pt>
                <c:pt idx="3">
                  <c:v>0.37059999999999998</c:v>
                </c:pt>
                <c:pt idx="4">
                  <c:v>0.10059999999999999</c:v>
                </c:pt>
                <c:pt idx="5">
                  <c:v>9.3200000000000005E-2</c:v>
                </c:pt>
                <c:pt idx="6">
                  <c:v>0.32119999999999999</c:v>
                </c:pt>
                <c:pt idx="7">
                  <c:v>0.23780000000000001</c:v>
                </c:pt>
                <c:pt idx="8">
                  <c:v>0.1429</c:v>
                </c:pt>
                <c:pt idx="9">
                  <c:v>0.40889999999999999</c:v>
                </c:pt>
                <c:pt idx="10">
                  <c:v>0.14710000000000001</c:v>
                </c:pt>
                <c:pt idx="11">
                  <c:v>0.55969999999999998</c:v>
                </c:pt>
                <c:pt idx="12">
                  <c:v>0.36880000000000002</c:v>
                </c:pt>
                <c:pt idx="13">
                  <c:v>0.58250000000000002</c:v>
                </c:pt>
                <c:pt idx="14">
                  <c:v>0.24729999999999999</c:v>
                </c:pt>
                <c:pt idx="15">
                  <c:v>0.34129999999999999</c:v>
                </c:pt>
                <c:pt idx="16">
                  <c:v>0.54810000000000003</c:v>
                </c:pt>
                <c:pt idx="17">
                  <c:v>0.57889999999999997</c:v>
                </c:pt>
                <c:pt idx="18">
                  <c:v>0.17530000000000001</c:v>
                </c:pt>
                <c:pt idx="19">
                  <c:v>0.39150000000000001</c:v>
                </c:pt>
                <c:pt idx="20">
                  <c:v>0.2432</c:v>
                </c:pt>
                <c:pt idx="21">
                  <c:v>0.46879999999999999</c:v>
                </c:pt>
                <c:pt idx="22">
                  <c:v>0.17899999999999999</c:v>
                </c:pt>
                <c:pt idx="23">
                  <c:v>0.15970000000000001</c:v>
                </c:pt>
                <c:pt idx="24">
                  <c:v>0.14019999999999999</c:v>
                </c:pt>
                <c:pt idx="25">
                  <c:v>0.1515</c:v>
                </c:pt>
                <c:pt idx="26">
                  <c:v>0.28649999999999998</c:v>
                </c:pt>
                <c:pt idx="27">
                  <c:v>0.25719999999999998</c:v>
                </c:pt>
                <c:pt idx="28">
                  <c:v>0.18329999999999999</c:v>
                </c:pt>
                <c:pt idx="29">
                  <c:v>0.47060000000000002</c:v>
                </c:pt>
                <c:pt idx="30">
                  <c:v>0.53910000000000002</c:v>
                </c:pt>
                <c:pt idx="31">
                  <c:v>0.40389999999999998</c:v>
                </c:pt>
                <c:pt idx="32">
                  <c:v>0.35639999999999999</c:v>
                </c:pt>
                <c:pt idx="33">
                  <c:v>0.3125</c:v>
                </c:pt>
                <c:pt idx="34">
                  <c:v>0.33729999999999999</c:v>
                </c:pt>
                <c:pt idx="35">
                  <c:v>0.32369999999999999</c:v>
                </c:pt>
                <c:pt idx="36">
                  <c:v>0.39040000000000002</c:v>
                </c:pt>
                <c:pt idx="37">
                  <c:v>0.32090000000000002</c:v>
                </c:pt>
                <c:pt idx="38">
                  <c:v>0.47889999999999999</c:v>
                </c:pt>
                <c:pt idx="39">
                  <c:v>0.30259999999999998</c:v>
                </c:pt>
                <c:pt idx="40">
                  <c:v>0.52129999999999999</c:v>
                </c:pt>
                <c:pt idx="41">
                  <c:v>0.4274</c:v>
                </c:pt>
                <c:pt idx="42">
                  <c:v>0.41149999999999998</c:v>
                </c:pt>
                <c:pt idx="43">
                  <c:v>0.33629999999999999</c:v>
                </c:pt>
                <c:pt idx="44">
                  <c:v>0.42399999999999999</c:v>
                </c:pt>
                <c:pt idx="45">
                  <c:v>0.42609999999999998</c:v>
                </c:pt>
                <c:pt idx="46">
                  <c:v>0.56759999999999999</c:v>
                </c:pt>
                <c:pt idx="47">
                  <c:v>0.66720000000000002</c:v>
                </c:pt>
                <c:pt idx="48">
                  <c:v>0.40310000000000001</c:v>
                </c:pt>
                <c:pt idx="49">
                  <c:v>0.55800000000000005</c:v>
                </c:pt>
                <c:pt idx="50">
                  <c:v>0.35049999999999998</c:v>
                </c:pt>
                <c:pt idx="51">
                  <c:v>0.35580000000000001</c:v>
                </c:pt>
                <c:pt idx="52">
                  <c:v>0.42680000000000001</c:v>
                </c:pt>
                <c:pt idx="53">
                  <c:v>0.40460000000000002</c:v>
                </c:pt>
                <c:pt idx="54">
                  <c:v>0.31409999999999999</c:v>
                </c:pt>
                <c:pt idx="55">
                  <c:v>0.48010000000000003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FD-AB4B-90D7-AFD6E639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279552"/>
        <c:axId val="1396373616"/>
      </c:scatterChart>
      <c:valAx>
        <c:axId val="133327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Teen Birth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73616"/>
        <c:crosses val="autoZero"/>
        <c:crossBetween val="midCat"/>
      </c:valAx>
      <c:valAx>
        <c:axId val="1396373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of Single Parents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7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2421849022983418"/>
          <c:y val="0.8582451660110002"/>
          <c:w val="0.36274930779336373"/>
          <c:h val="7.7477584303336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Parent vs Poverty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Baltimore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'Balt Sussex Combined'!$D$2:$D$218</c:f>
              <c:numCache>
                <c:formatCode>General</c:formatCode>
                <c:ptCount val="217"/>
                <c:pt idx="0">
                  <c:v>0.15870000000000001</c:v>
                </c:pt>
                <c:pt idx="1">
                  <c:v>8.6400000000000005E-2</c:v>
                </c:pt>
                <c:pt idx="2">
                  <c:v>0.29730000000000001</c:v>
                </c:pt>
                <c:pt idx="3">
                  <c:v>0.42220000000000002</c:v>
                </c:pt>
                <c:pt idx="4">
                  <c:v>0.47789999999999999</c:v>
                </c:pt>
                <c:pt idx="5">
                  <c:v>0.92120000000000002</c:v>
                </c:pt>
                <c:pt idx="6">
                  <c:v>0.5635</c:v>
                </c:pt>
                <c:pt idx="7">
                  <c:v>0</c:v>
                </c:pt>
                <c:pt idx="8">
                  <c:v>0</c:v>
                </c:pt>
                <c:pt idx="9">
                  <c:v>0.78680000000000005</c:v>
                </c:pt>
                <c:pt idx="10">
                  <c:v>0.40839999999999999</c:v>
                </c:pt>
                <c:pt idx="11">
                  <c:v>0.64229999999999998</c:v>
                </c:pt>
                <c:pt idx="12">
                  <c:v>0.5</c:v>
                </c:pt>
                <c:pt idx="13">
                  <c:v>0.84870000000000001</c:v>
                </c:pt>
                <c:pt idx="14">
                  <c:v>0.87849999999999995</c:v>
                </c:pt>
                <c:pt idx="15">
                  <c:v>0.54079999999999995</c:v>
                </c:pt>
                <c:pt idx="16">
                  <c:v>0.80620000000000003</c:v>
                </c:pt>
                <c:pt idx="17">
                  <c:v>0.65100000000000002</c:v>
                </c:pt>
                <c:pt idx="18">
                  <c:v>0.71199999999999997</c:v>
                </c:pt>
                <c:pt idx="19">
                  <c:v>0.60470000000000002</c:v>
                </c:pt>
                <c:pt idx="20">
                  <c:v>0.93279999999999996</c:v>
                </c:pt>
                <c:pt idx="21">
                  <c:v>0.68640000000000001</c:v>
                </c:pt>
                <c:pt idx="22">
                  <c:v>0.76529999999999998</c:v>
                </c:pt>
                <c:pt idx="23">
                  <c:v>0.84140000000000004</c:v>
                </c:pt>
                <c:pt idx="24">
                  <c:v>0.9385</c:v>
                </c:pt>
                <c:pt idx="25">
                  <c:v>1</c:v>
                </c:pt>
                <c:pt idx="26">
                  <c:v>0.97009999999999996</c:v>
                </c:pt>
                <c:pt idx="27">
                  <c:v>0.4728</c:v>
                </c:pt>
                <c:pt idx="28">
                  <c:v>0.44529999999999997</c:v>
                </c:pt>
                <c:pt idx="29">
                  <c:v>0.29930000000000001</c:v>
                </c:pt>
                <c:pt idx="30">
                  <c:v>0.78790000000000004</c:v>
                </c:pt>
                <c:pt idx="31">
                  <c:v>0.63590000000000002</c:v>
                </c:pt>
                <c:pt idx="32">
                  <c:v>0.85140000000000005</c:v>
                </c:pt>
                <c:pt idx="33">
                  <c:v>0.97789999999999999</c:v>
                </c:pt>
                <c:pt idx="34">
                  <c:v>0.95630000000000004</c:v>
                </c:pt>
                <c:pt idx="35">
                  <c:v>1</c:v>
                </c:pt>
                <c:pt idx="36">
                  <c:v>0.71899999999999997</c:v>
                </c:pt>
                <c:pt idx="37">
                  <c:v>0.97760000000000002</c:v>
                </c:pt>
                <c:pt idx="38">
                  <c:v>1</c:v>
                </c:pt>
                <c:pt idx="39">
                  <c:v>0</c:v>
                </c:pt>
                <c:pt idx="40">
                  <c:v>0.2772</c:v>
                </c:pt>
                <c:pt idx="41">
                  <c:v>0.18459999999999999</c:v>
                </c:pt>
                <c:pt idx="42">
                  <c:v>0</c:v>
                </c:pt>
                <c:pt idx="43">
                  <c:v>0.60070000000000001</c:v>
                </c:pt>
                <c:pt idx="44">
                  <c:v>0.74419999999999997</c:v>
                </c:pt>
                <c:pt idx="45">
                  <c:v>0.7571</c:v>
                </c:pt>
                <c:pt idx="46">
                  <c:v>0.91300000000000003</c:v>
                </c:pt>
                <c:pt idx="47">
                  <c:v>0.32319999999999999</c:v>
                </c:pt>
                <c:pt idx="48">
                  <c:v>0.71289999999999998</c:v>
                </c:pt>
                <c:pt idx="49">
                  <c:v>0.85709999999999997</c:v>
                </c:pt>
                <c:pt idx="50">
                  <c:v>0.6915</c:v>
                </c:pt>
                <c:pt idx="51">
                  <c:v>0.64410000000000001</c:v>
                </c:pt>
                <c:pt idx="52">
                  <c:v>0.2492</c:v>
                </c:pt>
                <c:pt idx="53">
                  <c:v>3.4599999999999999E-2</c:v>
                </c:pt>
                <c:pt idx="54">
                  <c:v>0.39860000000000001</c:v>
                </c:pt>
                <c:pt idx="55">
                  <c:v>0.63490000000000002</c:v>
                </c:pt>
                <c:pt idx="56">
                  <c:v>0.55769999999999997</c:v>
                </c:pt>
                <c:pt idx="57">
                  <c:v>0.5222</c:v>
                </c:pt>
                <c:pt idx="58">
                  <c:v>0</c:v>
                </c:pt>
                <c:pt idx="59">
                  <c:v>0.98080000000000001</c:v>
                </c:pt>
                <c:pt idx="60">
                  <c:v>0.74919999999999998</c:v>
                </c:pt>
                <c:pt idx="61">
                  <c:v>1</c:v>
                </c:pt>
                <c:pt idx="62">
                  <c:v>0.6512</c:v>
                </c:pt>
                <c:pt idx="63">
                  <c:v>0.55559999999999998</c:v>
                </c:pt>
                <c:pt idx="64">
                  <c:v>0.79490000000000005</c:v>
                </c:pt>
                <c:pt idx="65">
                  <c:v>0.86870000000000003</c:v>
                </c:pt>
                <c:pt idx="66">
                  <c:v>0.85489999999999999</c:v>
                </c:pt>
                <c:pt idx="67">
                  <c:v>0.82179999999999997</c:v>
                </c:pt>
                <c:pt idx="68">
                  <c:v>0.89600000000000002</c:v>
                </c:pt>
                <c:pt idx="69">
                  <c:v>0.81720000000000004</c:v>
                </c:pt>
                <c:pt idx="70">
                  <c:v>0.49609999999999999</c:v>
                </c:pt>
                <c:pt idx="71">
                  <c:v>0.80669999999999997</c:v>
                </c:pt>
                <c:pt idx="72">
                  <c:v>0.7823</c:v>
                </c:pt>
                <c:pt idx="73">
                  <c:v>0.73080000000000001</c:v>
                </c:pt>
                <c:pt idx="74">
                  <c:v>0.7681</c:v>
                </c:pt>
                <c:pt idx="75">
                  <c:v>0.85619999999999996</c:v>
                </c:pt>
                <c:pt idx="76">
                  <c:v>0.83789999999999998</c:v>
                </c:pt>
                <c:pt idx="77">
                  <c:v>0.85229999999999995</c:v>
                </c:pt>
                <c:pt idx="78">
                  <c:v>0.90780000000000005</c:v>
                </c:pt>
                <c:pt idx="79">
                  <c:v>0.69310000000000005</c:v>
                </c:pt>
                <c:pt idx="80">
                  <c:v>0.88</c:v>
                </c:pt>
                <c:pt idx="81">
                  <c:v>0.7147</c:v>
                </c:pt>
                <c:pt idx="82">
                  <c:v>0.73240000000000005</c:v>
                </c:pt>
                <c:pt idx="83">
                  <c:v>0.75929999999999997</c:v>
                </c:pt>
                <c:pt idx="84">
                  <c:v>0.93330000000000002</c:v>
                </c:pt>
                <c:pt idx="85">
                  <c:v>0.89929999999999999</c:v>
                </c:pt>
                <c:pt idx="86">
                  <c:v>0.94069999999999998</c:v>
                </c:pt>
                <c:pt idx="87">
                  <c:v>0.98299999999999998</c:v>
                </c:pt>
                <c:pt idx="88">
                  <c:v>0.66669999999999996</c:v>
                </c:pt>
                <c:pt idx="89">
                  <c:v>0.8478</c:v>
                </c:pt>
                <c:pt idx="90">
                  <c:v>0.97450000000000003</c:v>
                </c:pt>
                <c:pt idx="91">
                  <c:v>0.73680000000000001</c:v>
                </c:pt>
                <c:pt idx="92">
                  <c:v>0.64470000000000005</c:v>
                </c:pt>
                <c:pt idx="93">
                  <c:v>0.66339999999999999</c:v>
                </c:pt>
                <c:pt idx="94">
                  <c:v>0.44550000000000001</c:v>
                </c:pt>
                <c:pt idx="95">
                  <c:v>0.92379999999999995</c:v>
                </c:pt>
                <c:pt idx="96">
                  <c:v>0.81330000000000002</c:v>
                </c:pt>
                <c:pt idx="97">
                  <c:v>0.59860000000000002</c:v>
                </c:pt>
                <c:pt idx="98">
                  <c:v>0.74339999999999995</c:v>
                </c:pt>
                <c:pt idx="99">
                  <c:v>0.85919999999999996</c:v>
                </c:pt>
                <c:pt idx="100">
                  <c:v>0.75839999999999996</c:v>
                </c:pt>
                <c:pt idx="101">
                  <c:v>0.51949999999999996</c:v>
                </c:pt>
                <c:pt idx="102">
                  <c:v>0.60540000000000005</c:v>
                </c:pt>
                <c:pt idx="103">
                  <c:v>0.55700000000000005</c:v>
                </c:pt>
                <c:pt idx="104">
                  <c:v>0.5615</c:v>
                </c:pt>
                <c:pt idx="105">
                  <c:v>0.56340000000000001</c:v>
                </c:pt>
                <c:pt idx="106">
                  <c:v>0.65939999999999999</c:v>
                </c:pt>
                <c:pt idx="107">
                  <c:v>0.85919999999999996</c:v>
                </c:pt>
                <c:pt idx="108">
                  <c:v>0.89059999999999995</c:v>
                </c:pt>
                <c:pt idx="109">
                  <c:v>0.86760000000000004</c:v>
                </c:pt>
                <c:pt idx="110">
                  <c:v>0.51329999999999998</c:v>
                </c:pt>
                <c:pt idx="111">
                  <c:v>0.67410000000000003</c:v>
                </c:pt>
                <c:pt idx="112">
                  <c:v>0.79059999999999997</c:v>
                </c:pt>
                <c:pt idx="113">
                  <c:v>0.70140000000000002</c:v>
                </c:pt>
                <c:pt idx="114">
                  <c:v>0.44700000000000001</c:v>
                </c:pt>
                <c:pt idx="115">
                  <c:v>0.44</c:v>
                </c:pt>
                <c:pt idx="116">
                  <c:v>0.38119999999999998</c:v>
                </c:pt>
                <c:pt idx="117">
                  <c:v>0.30070000000000002</c:v>
                </c:pt>
                <c:pt idx="118">
                  <c:v>0.31380000000000002</c:v>
                </c:pt>
                <c:pt idx="119">
                  <c:v>0.1079</c:v>
                </c:pt>
                <c:pt idx="120">
                  <c:v>0.58330000000000004</c:v>
                </c:pt>
                <c:pt idx="121">
                  <c:v>0.46379999999999999</c:v>
                </c:pt>
                <c:pt idx="122">
                  <c:v>0.33329999999999999</c:v>
                </c:pt>
                <c:pt idx="123">
                  <c:v>0.31850000000000001</c:v>
                </c:pt>
                <c:pt idx="124">
                  <c:v>0.25359999999999999</c:v>
                </c:pt>
                <c:pt idx="125">
                  <c:v>0.7127</c:v>
                </c:pt>
                <c:pt idx="126">
                  <c:v>0.18809999999999999</c:v>
                </c:pt>
                <c:pt idx="127">
                  <c:v>0.14630000000000001</c:v>
                </c:pt>
                <c:pt idx="128">
                  <c:v>0.44440000000000002</c:v>
                </c:pt>
                <c:pt idx="129">
                  <c:v>0.37030000000000002</c:v>
                </c:pt>
                <c:pt idx="130">
                  <c:v>0.77839999999999998</c:v>
                </c:pt>
                <c:pt idx="131">
                  <c:v>0.92789999999999995</c:v>
                </c:pt>
                <c:pt idx="132">
                  <c:v>7.0699999999999999E-2</c:v>
                </c:pt>
                <c:pt idx="133">
                  <c:v>0.60119999999999996</c:v>
                </c:pt>
                <c:pt idx="134">
                  <c:v>0.625</c:v>
                </c:pt>
                <c:pt idx="135">
                  <c:v>0.48859999999999998</c:v>
                </c:pt>
                <c:pt idx="136">
                  <c:v>0.45450000000000002</c:v>
                </c:pt>
                <c:pt idx="137">
                  <c:v>0.69189999999999996</c:v>
                </c:pt>
                <c:pt idx="138">
                  <c:v>0.45040000000000002</c:v>
                </c:pt>
                <c:pt idx="139">
                  <c:v>0.75660000000000005</c:v>
                </c:pt>
                <c:pt idx="140">
                  <c:v>0.69789999999999996</c:v>
                </c:pt>
                <c:pt idx="141">
                  <c:v>0.85909999999999997</c:v>
                </c:pt>
                <c:pt idx="142">
                  <c:v>0.87060000000000004</c:v>
                </c:pt>
                <c:pt idx="143">
                  <c:v>0.36299999999999999</c:v>
                </c:pt>
                <c:pt idx="144">
                  <c:v>7.2400000000000006E-2</c:v>
                </c:pt>
                <c:pt idx="145">
                  <c:v>9.8900000000000002E-2</c:v>
                </c:pt>
                <c:pt idx="146">
                  <c:v>9.7900000000000001E-2</c:v>
                </c:pt>
                <c:pt idx="147">
                  <c:v>0.2205</c:v>
                </c:pt>
                <c:pt idx="148">
                  <c:v>0.1426</c:v>
                </c:pt>
                <c:pt idx="149">
                  <c:v>0.31030000000000002</c:v>
                </c:pt>
                <c:pt idx="150">
                  <c:v>0.75780000000000003</c:v>
                </c:pt>
                <c:pt idx="151">
                  <c:v>0.49059999999999998</c:v>
                </c:pt>
                <c:pt idx="152">
                  <c:v>0.83250000000000002</c:v>
                </c:pt>
                <c:pt idx="153">
                  <c:v>0.95179999999999998</c:v>
                </c:pt>
                <c:pt idx="154">
                  <c:v>0.43940000000000001</c:v>
                </c:pt>
                <c:pt idx="155">
                  <c:v>0.40100000000000002</c:v>
                </c:pt>
                <c:pt idx="156">
                  <c:v>0.15409999999999999</c:v>
                </c:pt>
                <c:pt idx="157">
                  <c:v>0.125</c:v>
                </c:pt>
                <c:pt idx="158">
                  <c:v>0.39050000000000001</c:v>
                </c:pt>
                <c:pt idx="159">
                  <c:v>0.5746</c:v>
                </c:pt>
                <c:pt idx="160">
                  <c:v>0.6008</c:v>
                </c:pt>
                <c:pt idx="161">
                  <c:v>0.59009999999999996</c:v>
                </c:pt>
                <c:pt idx="162">
                  <c:v>0.58109999999999995</c:v>
                </c:pt>
                <c:pt idx="163">
                  <c:v>0.79620000000000002</c:v>
                </c:pt>
                <c:pt idx="164">
                  <c:v>0.86350000000000005</c:v>
                </c:pt>
                <c:pt idx="165">
                  <c:v>0.34870000000000001</c:v>
                </c:pt>
                <c:pt idx="166">
                  <c:v>0.5242</c:v>
                </c:pt>
                <c:pt idx="167">
                  <c:v>0.58979999999999999</c:v>
                </c:pt>
                <c:pt idx="168">
                  <c:v>0.90439999999999998</c:v>
                </c:pt>
                <c:pt idx="169">
                  <c:v>0.90869999999999995</c:v>
                </c:pt>
                <c:pt idx="170">
                  <c:v>0.3599</c:v>
                </c:pt>
                <c:pt idx="171">
                  <c:v>0.4365</c:v>
                </c:pt>
                <c:pt idx="172">
                  <c:v>0.58499999999999996</c:v>
                </c:pt>
                <c:pt idx="173">
                  <c:v>0.14460000000000001</c:v>
                </c:pt>
                <c:pt idx="174">
                  <c:v>0.16869999999999999</c:v>
                </c:pt>
                <c:pt idx="175">
                  <c:v>0.1694</c:v>
                </c:pt>
                <c:pt idx="176">
                  <c:v>0.1714</c:v>
                </c:pt>
                <c:pt idx="177">
                  <c:v>0.1217</c:v>
                </c:pt>
                <c:pt idx="178">
                  <c:v>0.51829999999999998</c:v>
                </c:pt>
                <c:pt idx="179">
                  <c:v>0.48220000000000002</c:v>
                </c:pt>
                <c:pt idx="180">
                  <c:v>0.38100000000000001</c:v>
                </c:pt>
                <c:pt idx="181">
                  <c:v>0.5534</c:v>
                </c:pt>
                <c:pt idx="182">
                  <c:v>0.78249999999999997</c:v>
                </c:pt>
                <c:pt idx="183">
                  <c:v>0.17699999999999999</c:v>
                </c:pt>
                <c:pt idx="184">
                  <c:v>0.2271</c:v>
                </c:pt>
                <c:pt idx="185">
                  <c:v>0.16250000000000001</c:v>
                </c:pt>
                <c:pt idx="186">
                  <c:v>0.38350000000000001</c:v>
                </c:pt>
                <c:pt idx="187">
                  <c:v>0.45300000000000001</c:v>
                </c:pt>
                <c:pt idx="188">
                  <c:v>0.31900000000000001</c:v>
                </c:pt>
                <c:pt idx="189">
                  <c:v>0</c:v>
                </c:pt>
                <c:pt idx="190">
                  <c:v>0.27910000000000001</c:v>
                </c:pt>
                <c:pt idx="191">
                  <c:v>0.47449999999999998</c:v>
                </c:pt>
                <c:pt idx="192">
                  <c:v>0.74590000000000001</c:v>
                </c:pt>
                <c:pt idx="193">
                  <c:v>0.7772</c:v>
                </c:pt>
                <c:pt idx="194">
                  <c:v>0.56899999999999995</c:v>
                </c:pt>
                <c:pt idx="195">
                  <c:v>0</c:v>
                </c:pt>
                <c:pt idx="196">
                  <c:v>0.13639999999999999</c:v>
                </c:pt>
                <c:pt idx="197">
                  <c:v>0.12709999999999999</c:v>
                </c:pt>
                <c:pt idx="198">
                  <c:v>8.5900000000000004E-2</c:v>
                </c:pt>
                <c:pt idx="199">
                  <c:v>0</c:v>
                </c:pt>
                <c:pt idx="200">
                  <c:v>8.6800000000000002E-2</c:v>
                </c:pt>
                <c:pt idx="201">
                  <c:v>0.874</c:v>
                </c:pt>
                <c:pt idx="202">
                  <c:v>0.8458</c:v>
                </c:pt>
                <c:pt idx="203">
                  <c:v>0.43219999999999997</c:v>
                </c:pt>
                <c:pt idx="204">
                  <c:v>0.67889999999999995</c:v>
                </c:pt>
                <c:pt idx="205">
                  <c:v>0.92759999999999998</c:v>
                </c:pt>
                <c:pt idx="206">
                  <c:v>0.59599999999999997</c:v>
                </c:pt>
                <c:pt idx="207">
                  <c:v>0.21210000000000001</c:v>
                </c:pt>
                <c:pt idx="208">
                  <c:v>0.66220000000000001</c:v>
                </c:pt>
                <c:pt idx="209">
                  <c:v>1</c:v>
                </c:pt>
                <c:pt idx="210">
                  <c:v>0.48480000000000001</c:v>
                </c:pt>
                <c:pt idx="211">
                  <c:v>0.6885</c:v>
                </c:pt>
                <c:pt idx="212">
                  <c:v>0.62929999999999997</c:v>
                </c:pt>
                <c:pt idx="213">
                  <c:v>0.65100000000000002</c:v>
                </c:pt>
                <c:pt idx="214">
                  <c:v>0</c:v>
                </c:pt>
                <c:pt idx="215">
                  <c:v>0.85599999999999998</c:v>
                </c:pt>
                <c:pt idx="216">
                  <c:v>0.43630000000000002</c:v>
                </c:pt>
              </c:numCache>
            </c:numRef>
          </c:xVal>
          <c:yVal>
            <c:numRef>
              <c:f>'Balt Sussex Combined'!$B$2:$B$218</c:f>
              <c:numCache>
                <c:formatCode>General</c:formatCode>
                <c:ptCount val="217"/>
                <c:pt idx="0">
                  <c:v>0.1062</c:v>
                </c:pt>
                <c:pt idx="1">
                  <c:v>6.0100000000000001E-2</c:v>
                </c:pt>
                <c:pt idx="2">
                  <c:v>7.8200000000000006E-2</c:v>
                </c:pt>
                <c:pt idx="3">
                  <c:v>0.1002</c:v>
                </c:pt>
                <c:pt idx="4">
                  <c:v>0.15179999999999999</c:v>
                </c:pt>
                <c:pt idx="5">
                  <c:v>0.41899999999999998</c:v>
                </c:pt>
                <c:pt idx="6">
                  <c:v>0.21890000000000001</c:v>
                </c:pt>
                <c:pt idx="7">
                  <c:v>0.26579999999999998</c:v>
                </c:pt>
                <c:pt idx="8">
                  <c:v>0.29599999999999999</c:v>
                </c:pt>
                <c:pt idx="9">
                  <c:v>0.32679999999999998</c:v>
                </c:pt>
                <c:pt idx="10">
                  <c:v>0.23710000000000001</c:v>
                </c:pt>
                <c:pt idx="11">
                  <c:v>0.22600000000000001</c:v>
                </c:pt>
                <c:pt idx="12">
                  <c:v>0.22159999999999999</c:v>
                </c:pt>
                <c:pt idx="13">
                  <c:v>0.35880000000000001</c:v>
                </c:pt>
                <c:pt idx="14">
                  <c:v>0.43669999999999998</c:v>
                </c:pt>
                <c:pt idx="15">
                  <c:v>0.53800000000000003</c:v>
                </c:pt>
                <c:pt idx="16">
                  <c:v>0.4743</c:v>
                </c:pt>
                <c:pt idx="17">
                  <c:v>0.1469</c:v>
                </c:pt>
                <c:pt idx="18">
                  <c:v>0.27810000000000001</c:v>
                </c:pt>
                <c:pt idx="19">
                  <c:v>0.24329999999999999</c:v>
                </c:pt>
                <c:pt idx="20">
                  <c:v>0.23039999999999999</c:v>
                </c:pt>
                <c:pt idx="21">
                  <c:v>0.32200000000000001</c:v>
                </c:pt>
                <c:pt idx="22">
                  <c:v>0.51190000000000002</c:v>
                </c:pt>
                <c:pt idx="23">
                  <c:v>0.3266</c:v>
                </c:pt>
                <c:pt idx="24">
                  <c:v>0.28620000000000001</c:v>
                </c:pt>
                <c:pt idx="25">
                  <c:v>0.2873</c:v>
                </c:pt>
                <c:pt idx="26">
                  <c:v>0.49280000000000002</c:v>
                </c:pt>
                <c:pt idx="27">
                  <c:v>0.2059</c:v>
                </c:pt>
                <c:pt idx="28">
                  <c:v>0.1113</c:v>
                </c:pt>
                <c:pt idx="29">
                  <c:v>0.23849999999999999</c:v>
                </c:pt>
                <c:pt idx="30">
                  <c:v>0.30480000000000002</c:v>
                </c:pt>
                <c:pt idx="31">
                  <c:v>0.16020000000000001</c:v>
                </c:pt>
                <c:pt idx="32">
                  <c:v>0.17219999999999999</c:v>
                </c:pt>
                <c:pt idx="33">
                  <c:v>0.31290000000000001</c:v>
                </c:pt>
                <c:pt idx="34">
                  <c:v>0.3669</c:v>
                </c:pt>
                <c:pt idx="35">
                  <c:v>0.25890000000000002</c:v>
                </c:pt>
                <c:pt idx="36">
                  <c:v>0.42649999999999999</c:v>
                </c:pt>
                <c:pt idx="37">
                  <c:v>0.43140000000000001</c:v>
                </c:pt>
                <c:pt idx="38">
                  <c:v>0.2155</c:v>
                </c:pt>
                <c:pt idx="39">
                  <c:v>0.19209999999999999</c:v>
                </c:pt>
                <c:pt idx="40">
                  <c:v>0.1774</c:v>
                </c:pt>
                <c:pt idx="41">
                  <c:v>0.21479999999999999</c:v>
                </c:pt>
                <c:pt idx="42">
                  <c:v>0.36020000000000002</c:v>
                </c:pt>
                <c:pt idx="43">
                  <c:v>0.2949</c:v>
                </c:pt>
                <c:pt idx="44">
                  <c:v>0.42670000000000002</c:v>
                </c:pt>
                <c:pt idx="45">
                  <c:v>0.29530000000000001</c:v>
                </c:pt>
                <c:pt idx="46">
                  <c:v>0.43930000000000002</c:v>
                </c:pt>
                <c:pt idx="47">
                  <c:v>0.1734</c:v>
                </c:pt>
                <c:pt idx="48">
                  <c:v>0.33660000000000001</c:v>
                </c:pt>
                <c:pt idx="49">
                  <c:v>0.34899999999999998</c:v>
                </c:pt>
                <c:pt idx="50">
                  <c:v>0.33100000000000002</c:v>
                </c:pt>
                <c:pt idx="51">
                  <c:v>0.30499999999999999</c:v>
                </c:pt>
                <c:pt idx="52">
                  <c:v>0.1043</c:v>
                </c:pt>
                <c:pt idx="53">
                  <c:v>5.9299999999999999E-2</c:v>
                </c:pt>
                <c:pt idx="54">
                  <c:v>9.1200000000000003E-2</c:v>
                </c:pt>
                <c:pt idx="55">
                  <c:v>0.15590000000000001</c:v>
                </c:pt>
                <c:pt idx="56">
                  <c:v>0.13769999999999999</c:v>
                </c:pt>
                <c:pt idx="57">
                  <c:v>0.1159</c:v>
                </c:pt>
                <c:pt idx="58">
                  <c:v>0.17680000000000001</c:v>
                </c:pt>
                <c:pt idx="59">
                  <c:v>0.56599999999999995</c:v>
                </c:pt>
                <c:pt idx="60">
                  <c:v>0.42620000000000002</c:v>
                </c:pt>
                <c:pt idx="61">
                  <c:v>0.47320000000000001</c:v>
                </c:pt>
                <c:pt idx="62">
                  <c:v>0.26329999999999998</c:v>
                </c:pt>
                <c:pt idx="63">
                  <c:v>0.2349</c:v>
                </c:pt>
                <c:pt idx="64">
                  <c:v>0.16209999999999999</c:v>
                </c:pt>
                <c:pt idx="65">
                  <c:v>0.26490000000000002</c:v>
                </c:pt>
                <c:pt idx="66">
                  <c:v>0.29239999999999999</c:v>
                </c:pt>
                <c:pt idx="67">
                  <c:v>0.19159999999999999</c:v>
                </c:pt>
                <c:pt idx="68">
                  <c:v>0.23730000000000001</c:v>
                </c:pt>
                <c:pt idx="69">
                  <c:v>0.25629999999999997</c:v>
                </c:pt>
                <c:pt idx="70">
                  <c:v>0.21829999999999999</c:v>
                </c:pt>
                <c:pt idx="71">
                  <c:v>0.27450000000000002</c:v>
                </c:pt>
                <c:pt idx="72">
                  <c:v>0.15690000000000001</c:v>
                </c:pt>
                <c:pt idx="73">
                  <c:v>0.31559999999999999</c:v>
                </c:pt>
                <c:pt idx="74">
                  <c:v>0.44309999999999999</c:v>
                </c:pt>
                <c:pt idx="75">
                  <c:v>0.38790000000000002</c:v>
                </c:pt>
                <c:pt idx="76">
                  <c:v>0.3034</c:v>
                </c:pt>
                <c:pt idx="77">
                  <c:v>0.39369999999999999</c:v>
                </c:pt>
                <c:pt idx="78">
                  <c:v>0.37769999999999998</c:v>
                </c:pt>
                <c:pt idx="79">
                  <c:v>0.25690000000000002</c:v>
                </c:pt>
                <c:pt idx="80">
                  <c:v>0.36230000000000001</c:v>
                </c:pt>
                <c:pt idx="81">
                  <c:v>0.37159999999999999</c:v>
                </c:pt>
                <c:pt idx="82">
                  <c:v>0.18340000000000001</c:v>
                </c:pt>
                <c:pt idx="83">
                  <c:v>0.12809999999999999</c:v>
                </c:pt>
                <c:pt idx="84">
                  <c:v>0.27839999999999998</c:v>
                </c:pt>
                <c:pt idx="85">
                  <c:v>0.51980000000000004</c:v>
                </c:pt>
                <c:pt idx="86">
                  <c:v>0.31030000000000002</c:v>
                </c:pt>
                <c:pt idx="87">
                  <c:v>0.58599999999999997</c:v>
                </c:pt>
                <c:pt idx="88">
                  <c:v>0.40699999999999997</c:v>
                </c:pt>
                <c:pt idx="89">
                  <c:v>0.36149999999999999</c:v>
                </c:pt>
                <c:pt idx="90">
                  <c:v>0.38719999999999999</c:v>
                </c:pt>
                <c:pt idx="91">
                  <c:v>0.33079999999999998</c:v>
                </c:pt>
                <c:pt idx="92">
                  <c:v>0.36259999999999998</c:v>
                </c:pt>
                <c:pt idx="93">
                  <c:v>0.47499999999999998</c:v>
                </c:pt>
                <c:pt idx="94">
                  <c:v>0.38719999999999999</c:v>
                </c:pt>
                <c:pt idx="95">
                  <c:v>0.4375</c:v>
                </c:pt>
                <c:pt idx="96">
                  <c:v>0.38800000000000001</c:v>
                </c:pt>
                <c:pt idx="97">
                  <c:v>0.28260000000000002</c:v>
                </c:pt>
                <c:pt idx="98">
                  <c:v>0.26979999999999998</c:v>
                </c:pt>
                <c:pt idx="99">
                  <c:v>0.39560000000000001</c:v>
                </c:pt>
                <c:pt idx="100">
                  <c:v>0.26150000000000001</c:v>
                </c:pt>
                <c:pt idx="101">
                  <c:v>0.1106</c:v>
                </c:pt>
                <c:pt idx="102">
                  <c:v>0.18720000000000001</c:v>
                </c:pt>
                <c:pt idx="103">
                  <c:v>0.1152</c:v>
                </c:pt>
                <c:pt idx="104">
                  <c:v>0.17730000000000001</c:v>
                </c:pt>
                <c:pt idx="105">
                  <c:v>0.18029999999999999</c:v>
                </c:pt>
                <c:pt idx="106">
                  <c:v>0.21279999999999999</c:v>
                </c:pt>
                <c:pt idx="107">
                  <c:v>0.31630000000000003</c:v>
                </c:pt>
                <c:pt idx="108">
                  <c:v>0.27510000000000001</c:v>
                </c:pt>
                <c:pt idx="109">
                  <c:v>0.37080000000000002</c:v>
                </c:pt>
                <c:pt idx="110">
                  <c:v>0.19689999999999999</c:v>
                </c:pt>
                <c:pt idx="111">
                  <c:v>0.2457</c:v>
                </c:pt>
                <c:pt idx="112">
                  <c:v>0.2989</c:v>
                </c:pt>
                <c:pt idx="113">
                  <c:v>0.3004</c:v>
                </c:pt>
                <c:pt idx="114">
                  <c:v>0.11219999999999999</c:v>
                </c:pt>
                <c:pt idx="115">
                  <c:v>0.2243</c:v>
                </c:pt>
                <c:pt idx="116">
                  <c:v>0.26840000000000003</c:v>
                </c:pt>
                <c:pt idx="117">
                  <c:v>7.9699999999999993E-2</c:v>
                </c:pt>
                <c:pt idx="118">
                  <c:v>0.1847</c:v>
                </c:pt>
                <c:pt idx="119">
                  <c:v>0.104</c:v>
                </c:pt>
                <c:pt idx="120">
                  <c:v>0.28989999999999999</c:v>
                </c:pt>
                <c:pt idx="121">
                  <c:v>8.9200000000000002E-2</c:v>
                </c:pt>
                <c:pt idx="122">
                  <c:v>9.7100000000000006E-2</c:v>
                </c:pt>
                <c:pt idx="123">
                  <c:v>0.11260000000000001</c:v>
                </c:pt>
                <c:pt idx="124">
                  <c:v>0.12180000000000001</c:v>
                </c:pt>
                <c:pt idx="125">
                  <c:v>0.14779999999999999</c:v>
                </c:pt>
                <c:pt idx="126">
                  <c:v>9.7600000000000006E-2</c:v>
                </c:pt>
                <c:pt idx="127">
                  <c:v>6.7799999999999999E-2</c:v>
                </c:pt>
                <c:pt idx="128">
                  <c:v>0.1341</c:v>
                </c:pt>
                <c:pt idx="129">
                  <c:v>0.13250000000000001</c:v>
                </c:pt>
                <c:pt idx="130">
                  <c:v>0.2417</c:v>
                </c:pt>
                <c:pt idx="131">
                  <c:v>0.1278</c:v>
                </c:pt>
                <c:pt idx="132">
                  <c:v>8.1900000000000001E-2</c:v>
                </c:pt>
                <c:pt idx="133">
                  <c:v>0.188</c:v>
                </c:pt>
                <c:pt idx="134">
                  <c:v>0.15909999999999999</c:v>
                </c:pt>
                <c:pt idx="135">
                  <c:v>0.14099999999999999</c:v>
                </c:pt>
                <c:pt idx="136">
                  <c:v>0.18390000000000001</c:v>
                </c:pt>
                <c:pt idx="137">
                  <c:v>0.11260000000000001</c:v>
                </c:pt>
                <c:pt idx="138">
                  <c:v>0.1056</c:v>
                </c:pt>
                <c:pt idx="139">
                  <c:v>8.9899999999999994E-2</c:v>
                </c:pt>
                <c:pt idx="140">
                  <c:v>0.19550000000000001</c:v>
                </c:pt>
                <c:pt idx="141">
                  <c:v>0.2046</c:v>
                </c:pt>
                <c:pt idx="142">
                  <c:v>0.35759999999999997</c:v>
                </c:pt>
                <c:pt idx="143">
                  <c:v>0.27389999999999998</c:v>
                </c:pt>
                <c:pt idx="144">
                  <c:v>2.9700000000000001E-2</c:v>
                </c:pt>
                <c:pt idx="145">
                  <c:v>6.2100000000000002E-2</c:v>
                </c:pt>
                <c:pt idx="146">
                  <c:v>6.2700000000000006E-2</c:v>
                </c:pt>
                <c:pt idx="147">
                  <c:v>9.7500000000000003E-2</c:v>
                </c:pt>
                <c:pt idx="148">
                  <c:v>7.9899999999999999E-2</c:v>
                </c:pt>
                <c:pt idx="149">
                  <c:v>4.5600000000000002E-2</c:v>
                </c:pt>
                <c:pt idx="150">
                  <c:v>0.34439999999999998</c:v>
                </c:pt>
                <c:pt idx="151">
                  <c:v>0.187</c:v>
                </c:pt>
                <c:pt idx="152">
                  <c:v>0.33710000000000001</c:v>
                </c:pt>
                <c:pt idx="153">
                  <c:v>0.3483</c:v>
                </c:pt>
                <c:pt idx="154">
                  <c:v>0.2616</c:v>
                </c:pt>
                <c:pt idx="155">
                  <c:v>5.1499999999999997E-2</c:v>
                </c:pt>
                <c:pt idx="156">
                  <c:v>0.10150000000000001</c:v>
                </c:pt>
                <c:pt idx="157">
                  <c:v>0.1845</c:v>
                </c:pt>
                <c:pt idx="158">
                  <c:v>0.1963</c:v>
                </c:pt>
                <c:pt idx="159">
                  <c:v>0.23449999999999999</c:v>
                </c:pt>
                <c:pt idx="160">
                  <c:v>0.3105</c:v>
                </c:pt>
                <c:pt idx="161">
                  <c:v>0.2213</c:v>
                </c:pt>
                <c:pt idx="162">
                  <c:v>0.23469999999999999</c:v>
                </c:pt>
                <c:pt idx="163">
                  <c:v>0.25430000000000003</c:v>
                </c:pt>
                <c:pt idx="164">
                  <c:v>0.24690000000000001</c:v>
                </c:pt>
                <c:pt idx="165">
                  <c:v>0.121</c:v>
                </c:pt>
                <c:pt idx="166">
                  <c:v>8.48E-2</c:v>
                </c:pt>
                <c:pt idx="167">
                  <c:v>6.9400000000000003E-2</c:v>
                </c:pt>
                <c:pt idx="168">
                  <c:v>0.25380000000000003</c:v>
                </c:pt>
                <c:pt idx="169">
                  <c:v>0.68520000000000003</c:v>
                </c:pt>
                <c:pt idx="170">
                  <c:v>0.24010000000000001</c:v>
                </c:pt>
                <c:pt idx="171">
                  <c:v>0.1913</c:v>
                </c:pt>
                <c:pt idx="172">
                  <c:v>0.158</c:v>
                </c:pt>
                <c:pt idx="173">
                  <c:v>0.1193</c:v>
                </c:pt>
                <c:pt idx="174">
                  <c:v>2.9899999999999999E-2</c:v>
                </c:pt>
                <c:pt idx="175">
                  <c:v>0.124</c:v>
                </c:pt>
                <c:pt idx="176">
                  <c:v>8.2100000000000006E-2</c:v>
                </c:pt>
                <c:pt idx="177">
                  <c:v>6.54E-2</c:v>
                </c:pt>
                <c:pt idx="178">
                  <c:v>0.13650000000000001</c:v>
                </c:pt>
                <c:pt idx="179">
                  <c:v>0.3044</c:v>
                </c:pt>
                <c:pt idx="180">
                  <c:v>0.1027</c:v>
                </c:pt>
                <c:pt idx="181">
                  <c:v>0.11600000000000001</c:v>
                </c:pt>
                <c:pt idx="182">
                  <c:v>0.316</c:v>
                </c:pt>
                <c:pt idx="183">
                  <c:v>0.14710000000000001</c:v>
                </c:pt>
                <c:pt idx="184">
                  <c:v>6.1100000000000002E-2</c:v>
                </c:pt>
                <c:pt idx="185">
                  <c:v>5.6399999999999999E-2</c:v>
                </c:pt>
                <c:pt idx="186">
                  <c:v>8.0699999999999994E-2</c:v>
                </c:pt>
                <c:pt idx="187">
                  <c:v>0.1678</c:v>
                </c:pt>
                <c:pt idx="188">
                  <c:v>0.1047</c:v>
                </c:pt>
                <c:pt idx="189">
                  <c:v>4.3499999999999997E-2</c:v>
                </c:pt>
                <c:pt idx="190">
                  <c:v>8.0199999999999994E-2</c:v>
                </c:pt>
                <c:pt idx="191">
                  <c:v>0.45939999999999998</c:v>
                </c:pt>
                <c:pt idx="192">
                  <c:v>0.27229999999999999</c:v>
                </c:pt>
                <c:pt idx="193">
                  <c:v>0.34250000000000003</c:v>
                </c:pt>
                <c:pt idx="194">
                  <c:v>0.18160000000000001</c:v>
                </c:pt>
                <c:pt idx="195">
                  <c:v>7.0300000000000001E-2</c:v>
                </c:pt>
                <c:pt idx="196">
                  <c:v>9.35E-2</c:v>
                </c:pt>
                <c:pt idx="197">
                  <c:v>4.87E-2</c:v>
                </c:pt>
                <c:pt idx="198">
                  <c:v>3.0599999999999999E-2</c:v>
                </c:pt>
                <c:pt idx="199">
                  <c:v>7.6700000000000004E-2</c:v>
                </c:pt>
                <c:pt idx="200">
                  <c:v>1.6799999999999999E-2</c:v>
                </c:pt>
                <c:pt idx="201">
                  <c:v>0.22650000000000001</c:v>
                </c:pt>
                <c:pt idx="202">
                  <c:v>0.14280000000000001</c:v>
                </c:pt>
                <c:pt idx="203">
                  <c:v>0.1865</c:v>
                </c:pt>
                <c:pt idx="204">
                  <c:v>0.25990000000000002</c:v>
                </c:pt>
                <c:pt idx="205">
                  <c:v>0.6532</c:v>
                </c:pt>
                <c:pt idx="206">
                  <c:v>0.16159999999999999</c:v>
                </c:pt>
                <c:pt idx="207">
                  <c:v>0.20630000000000001</c:v>
                </c:pt>
                <c:pt idx="208">
                  <c:v>0.2021</c:v>
                </c:pt>
                <c:pt idx="209">
                  <c:v>0.33550000000000002</c:v>
                </c:pt>
                <c:pt idx="210">
                  <c:v>0.35549999999999998</c:v>
                </c:pt>
                <c:pt idx="211">
                  <c:v>0.21990000000000001</c:v>
                </c:pt>
                <c:pt idx="212">
                  <c:v>0.3518</c:v>
                </c:pt>
                <c:pt idx="213">
                  <c:v>0.31780000000000003</c:v>
                </c:pt>
                <c:pt idx="214">
                  <c:v>0</c:v>
                </c:pt>
                <c:pt idx="215">
                  <c:v>0.42909999999999998</c:v>
                </c:pt>
                <c:pt idx="216">
                  <c:v>0.26750000000000002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F0-E84C-965B-0D60A82A3E6B}"/>
            </c:ext>
          </c:extLst>
        </c:ser>
        <c:ser>
          <c:idx val="1"/>
          <c:order val="1"/>
          <c:tx>
            <c:v>Sussex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'Balt Sussex Combined'!$D$219:$D$274</c:f>
              <c:numCache>
                <c:formatCode>General</c:formatCode>
                <c:ptCount val="56"/>
                <c:pt idx="0">
                  <c:v>0</c:v>
                </c:pt>
                <c:pt idx="1">
                  <c:v>0.90910000000000002</c:v>
                </c:pt>
                <c:pt idx="2">
                  <c:v>0.16669999999999999</c:v>
                </c:pt>
                <c:pt idx="3">
                  <c:v>0.37059999999999998</c:v>
                </c:pt>
                <c:pt idx="4">
                  <c:v>0.10059999999999999</c:v>
                </c:pt>
                <c:pt idx="5">
                  <c:v>9.3200000000000005E-2</c:v>
                </c:pt>
                <c:pt idx="6">
                  <c:v>0.32119999999999999</c:v>
                </c:pt>
                <c:pt idx="7">
                  <c:v>0.23780000000000001</c:v>
                </c:pt>
                <c:pt idx="8">
                  <c:v>0.1429</c:v>
                </c:pt>
                <c:pt idx="9">
                  <c:v>0.40889999999999999</c:v>
                </c:pt>
                <c:pt idx="10">
                  <c:v>0.14710000000000001</c:v>
                </c:pt>
                <c:pt idx="11">
                  <c:v>0.55969999999999998</c:v>
                </c:pt>
                <c:pt idx="12">
                  <c:v>0.36880000000000002</c:v>
                </c:pt>
                <c:pt idx="13">
                  <c:v>0.58250000000000002</c:v>
                </c:pt>
                <c:pt idx="14">
                  <c:v>0.24729999999999999</c:v>
                </c:pt>
                <c:pt idx="15">
                  <c:v>0.34129999999999999</c:v>
                </c:pt>
                <c:pt idx="16">
                  <c:v>0.54810000000000003</c:v>
                </c:pt>
                <c:pt idx="17">
                  <c:v>0.57889999999999997</c:v>
                </c:pt>
                <c:pt idx="18">
                  <c:v>0.17530000000000001</c:v>
                </c:pt>
                <c:pt idx="19">
                  <c:v>0.39150000000000001</c:v>
                </c:pt>
                <c:pt idx="20">
                  <c:v>0.2432</c:v>
                </c:pt>
                <c:pt idx="21">
                  <c:v>0.46879999999999999</c:v>
                </c:pt>
                <c:pt idx="22">
                  <c:v>0.17899999999999999</c:v>
                </c:pt>
                <c:pt idx="23">
                  <c:v>0.15970000000000001</c:v>
                </c:pt>
                <c:pt idx="24">
                  <c:v>0.14019999999999999</c:v>
                </c:pt>
                <c:pt idx="25">
                  <c:v>0.1515</c:v>
                </c:pt>
                <c:pt idx="26">
                  <c:v>0.28649999999999998</c:v>
                </c:pt>
                <c:pt idx="27">
                  <c:v>0.25719999999999998</c:v>
                </c:pt>
                <c:pt idx="28">
                  <c:v>0.18329999999999999</c:v>
                </c:pt>
                <c:pt idx="29">
                  <c:v>0.47060000000000002</c:v>
                </c:pt>
                <c:pt idx="30">
                  <c:v>0.53910000000000002</c:v>
                </c:pt>
                <c:pt idx="31">
                  <c:v>0.40389999999999998</c:v>
                </c:pt>
                <c:pt idx="32">
                  <c:v>0.35639999999999999</c:v>
                </c:pt>
                <c:pt idx="33">
                  <c:v>0.3125</c:v>
                </c:pt>
                <c:pt idx="34">
                  <c:v>0.33729999999999999</c:v>
                </c:pt>
                <c:pt idx="35">
                  <c:v>0.32369999999999999</c:v>
                </c:pt>
                <c:pt idx="36">
                  <c:v>0.39040000000000002</c:v>
                </c:pt>
                <c:pt idx="37">
                  <c:v>0.32090000000000002</c:v>
                </c:pt>
                <c:pt idx="38">
                  <c:v>0.47889999999999999</c:v>
                </c:pt>
                <c:pt idx="39">
                  <c:v>0.30259999999999998</c:v>
                </c:pt>
                <c:pt idx="40">
                  <c:v>0.52129999999999999</c:v>
                </c:pt>
                <c:pt idx="41">
                  <c:v>0.4274</c:v>
                </c:pt>
                <c:pt idx="42">
                  <c:v>0.41149999999999998</c:v>
                </c:pt>
                <c:pt idx="43">
                  <c:v>0.33629999999999999</c:v>
                </c:pt>
                <c:pt idx="44">
                  <c:v>0.42399999999999999</c:v>
                </c:pt>
                <c:pt idx="45">
                  <c:v>0.42609999999999998</c:v>
                </c:pt>
                <c:pt idx="46">
                  <c:v>0.56759999999999999</c:v>
                </c:pt>
                <c:pt idx="47">
                  <c:v>0.66720000000000002</c:v>
                </c:pt>
                <c:pt idx="48">
                  <c:v>0.40310000000000001</c:v>
                </c:pt>
                <c:pt idx="49">
                  <c:v>0.55800000000000005</c:v>
                </c:pt>
                <c:pt idx="50">
                  <c:v>0.35049999999999998</c:v>
                </c:pt>
                <c:pt idx="51">
                  <c:v>0.35580000000000001</c:v>
                </c:pt>
                <c:pt idx="52">
                  <c:v>0.42680000000000001</c:v>
                </c:pt>
                <c:pt idx="53">
                  <c:v>0.40460000000000002</c:v>
                </c:pt>
                <c:pt idx="54">
                  <c:v>0.31409999999999999</c:v>
                </c:pt>
                <c:pt idx="55">
                  <c:v>0.48010000000000003</c:v>
                </c:pt>
              </c:numCache>
            </c:numRef>
          </c:xVal>
          <c:yVal>
            <c:numRef>
              <c:f>'Balt Sussex Combined'!$B$219:$B$274</c:f>
              <c:numCache>
                <c:formatCode>General</c:formatCode>
                <c:ptCount val="56"/>
                <c:pt idx="0">
                  <c:v>3.73E-2</c:v>
                </c:pt>
                <c:pt idx="1">
                  <c:v>4.9399999999999999E-2</c:v>
                </c:pt>
                <c:pt idx="2">
                  <c:v>7.8600000000000003E-2</c:v>
                </c:pt>
                <c:pt idx="3">
                  <c:v>9.3299999999999994E-2</c:v>
                </c:pt>
                <c:pt idx="4">
                  <c:v>5.4600000000000003E-2</c:v>
                </c:pt>
                <c:pt idx="5">
                  <c:v>7.1199999999999999E-2</c:v>
                </c:pt>
                <c:pt idx="6">
                  <c:v>9.9900000000000003E-2</c:v>
                </c:pt>
                <c:pt idx="7">
                  <c:v>5.2600000000000001E-2</c:v>
                </c:pt>
                <c:pt idx="8">
                  <c:v>6.7699999999999996E-2</c:v>
                </c:pt>
                <c:pt idx="9">
                  <c:v>4.9000000000000002E-2</c:v>
                </c:pt>
                <c:pt idx="10">
                  <c:v>8.5699999999999998E-2</c:v>
                </c:pt>
                <c:pt idx="11">
                  <c:v>8.9099999999999999E-2</c:v>
                </c:pt>
                <c:pt idx="12">
                  <c:v>0.1028</c:v>
                </c:pt>
                <c:pt idx="13">
                  <c:v>6.0499999999999998E-2</c:v>
                </c:pt>
                <c:pt idx="14">
                  <c:v>6.83E-2</c:v>
                </c:pt>
                <c:pt idx="15">
                  <c:v>0.14069999999999999</c:v>
                </c:pt>
                <c:pt idx="16">
                  <c:v>4.7100000000000003E-2</c:v>
                </c:pt>
                <c:pt idx="17">
                  <c:v>8.8800000000000004E-2</c:v>
                </c:pt>
                <c:pt idx="18">
                  <c:v>0.1048</c:v>
                </c:pt>
                <c:pt idx="19">
                  <c:v>0.114</c:v>
                </c:pt>
                <c:pt idx="20">
                  <c:v>9.4899999999999998E-2</c:v>
                </c:pt>
                <c:pt idx="21">
                  <c:v>0.17810000000000001</c:v>
                </c:pt>
                <c:pt idx="22">
                  <c:v>6.6299999999999998E-2</c:v>
                </c:pt>
                <c:pt idx="23">
                  <c:v>7.0000000000000007E-2</c:v>
                </c:pt>
                <c:pt idx="24">
                  <c:v>8.9200000000000002E-2</c:v>
                </c:pt>
                <c:pt idx="25">
                  <c:v>9.1999999999999998E-2</c:v>
                </c:pt>
                <c:pt idx="26">
                  <c:v>6.6600000000000006E-2</c:v>
                </c:pt>
                <c:pt idx="27">
                  <c:v>0.12870000000000001</c:v>
                </c:pt>
                <c:pt idx="28">
                  <c:v>7.7100000000000002E-2</c:v>
                </c:pt>
                <c:pt idx="29">
                  <c:v>0.1472</c:v>
                </c:pt>
                <c:pt idx="30">
                  <c:v>0.1396</c:v>
                </c:pt>
                <c:pt idx="31">
                  <c:v>8.6699999999999999E-2</c:v>
                </c:pt>
                <c:pt idx="32">
                  <c:v>0.12540000000000001</c:v>
                </c:pt>
                <c:pt idx="33">
                  <c:v>4.8000000000000001E-2</c:v>
                </c:pt>
                <c:pt idx="34">
                  <c:v>0.17810000000000001</c:v>
                </c:pt>
                <c:pt idx="35">
                  <c:v>0.15479999999999999</c:v>
                </c:pt>
                <c:pt idx="36">
                  <c:v>0.1129</c:v>
                </c:pt>
                <c:pt idx="37">
                  <c:v>0.24060000000000001</c:v>
                </c:pt>
                <c:pt idx="38">
                  <c:v>0.1109</c:v>
                </c:pt>
                <c:pt idx="39">
                  <c:v>0.20300000000000001</c:v>
                </c:pt>
                <c:pt idx="40">
                  <c:v>9.6000000000000002E-2</c:v>
                </c:pt>
                <c:pt idx="41">
                  <c:v>0.2208</c:v>
                </c:pt>
                <c:pt idx="42">
                  <c:v>0.22189999999999999</c:v>
                </c:pt>
                <c:pt idx="43">
                  <c:v>0.18129999999999999</c:v>
                </c:pt>
                <c:pt idx="44">
                  <c:v>0.1338</c:v>
                </c:pt>
                <c:pt idx="45">
                  <c:v>9.4600000000000004E-2</c:v>
                </c:pt>
                <c:pt idx="46">
                  <c:v>0.26419999999999999</c:v>
                </c:pt>
                <c:pt idx="47">
                  <c:v>0.16650000000000001</c:v>
                </c:pt>
                <c:pt idx="48">
                  <c:v>0.1585</c:v>
                </c:pt>
                <c:pt idx="49">
                  <c:v>0.20549999999999999</c:v>
                </c:pt>
                <c:pt idx="50">
                  <c:v>5.4899999999999997E-2</c:v>
                </c:pt>
                <c:pt idx="51">
                  <c:v>0.17050000000000001</c:v>
                </c:pt>
                <c:pt idx="52">
                  <c:v>0.1409</c:v>
                </c:pt>
                <c:pt idx="53">
                  <c:v>0.29580000000000001</c:v>
                </c:pt>
                <c:pt idx="54">
                  <c:v>0.1585</c:v>
                </c:pt>
                <c:pt idx="55">
                  <c:v>0.24249999999999999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F0-E84C-965B-0D60A82A3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279552"/>
        <c:axId val="1396373616"/>
      </c:scatterChart>
      <c:valAx>
        <c:axId val="1333279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Single Parent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73616"/>
        <c:crosses val="autoZero"/>
        <c:crossBetween val="midCat"/>
      </c:valAx>
      <c:valAx>
        <c:axId val="13963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7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6337049911544644"/>
          <c:y val="0.85816112335562666"/>
          <c:w val="0.36274930779336373"/>
          <c:h val="7.7523518693956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Baltimore Teen Birth vs</a:t>
            </a:r>
            <a:r>
              <a:rPr lang="en-US" baseline="0%"/>
              <a:t> Single Parent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608573928258965"/>
                  <c:y val="-6.4359142607174097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Baltimore!$E$2:$E$218</c:f>
              <c:numCache>
                <c:formatCode>General</c:formatCode>
                <c:ptCount val="217"/>
                <c:pt idx="0">
                  <c:v>0.29249999999999998</c:v>
                </c:pt>
                <c:pt idx="1">
                  <c:v>0.27779999999999999</c:v>
                </c:pt>
                <c:pt idx="2">
                  <c:v>0.31869999999999998</c:v>
                </c:pt>
                <c:pt idx="3">
                  <c:v>0.29980000000000001</c:v>
                </c:pt>
                <c:pt idx="4">
                  <c:v>0.3004</c:v>
                </c:pt>
                <c:pt idx="5">
                  <c:v>0.57430000000000003</c:v>
                </c:pt>
                <c:pt idx="6">
                  <c:v>0.4733</c:v>
                </c:pt>
                <c:pt idx="7">
                  <c:v>0.31440000000000001</c:v>
                </c:pt>
                <c:pt idx="8">
                  <c:v>0.4869</c:v>
                </c:pt>
                <c:pt idx="9">
                  <c:v>0.51639999999999997</c:v>
                </c:pt>
                <c:pt idx="10">
                  <c:v>0.51239999999999997</c:v>
                </c:pt>
                <c:pt idx="11">
                  <c:v>0.5857</c:v>
                </c:pt>
                <c:pt idx="12">
                  <c:v>0.49109999999999998</c:v>
                </c:pt>
                <c:pt idx="13">
                  <c:v>0.4677</c:v>
                </c:pt>
                <c:pt idx="14">
                  <c:v>0.55449999999999999</c:v>
                </c:pt>
                <c:pt idx="15">
                  <c:v>0.54910000000000003</c:v>
                </c:pt>
                <c:pt idx="16">
                  <c:v>0.56440000000000001</c:v>
                </c:pt>
                <c:pt idx="17">
                  <c:v>0.38290000000000002</c:v>
                </c:pt>
                <c:pt idx="18">
                  <c:v>0.55479999999999996</c:v>
                </c:pt>
                <c:pt idx="19">
                  <c:v>0.60189999999999999</c:v>
                </c:pt>
                <c:pt idx="20">
                  <c:v>0.5323</c:v>
                </c:pt>
                <c:pt idx="21">
                  <c:v>0.54790000000000005</c:v>
                </c:pt>
                <c:pt idx="22">
                  <c:v>0.53949999999999998</c:v>
                </c:pt>
                <c:pt idx="23">
                  <c:v>0.55479999999999996</c:v>
                </c:pt>
                <c:pt idx="24">
                  <c:v>0.57669999999999999</c:v>
                </c:pt>
                <c:pt idx="25">
                  <c:v>0.56299999999999994</c:v>
                </c:pt>
                <c:pt idx="26">
                  <c:v>0.58779999999999999</c:v>
                </c:pt>
                <c:pt idx="27">
                  <c:v>0.45689999999999997</c:v>
                </c:pt>
                <c:pt idx="28">
                  <c:v>0.3901</c:v>
                </c:pt>
                <c:pt idx="29">
                  <c:v>0.36099999999999999</c:v>
                </c:pt>
                <c:pt idx="30">
                  <c:v>0.55549999999999999</c:v>
                </c:pt>
                <c:pt idx="31">
                  <c:v>0.50049999999999994</c:v>
                </c:pt>
                <c:pt idx="32">
                  <c:v>0.47820000000000001</c:v>
                </c:pt>
                <c:pt idx="33">
                  <c:v>0.57530000000000003</c:v>
                </c:pt>
                <c:pt idx="34">
                  <c:v>0.55169999999999997</c:v>
                </c:pt>
                <c:pt idx="35">
                  <c:v>0.59709999999999996</c:v>
                </c:pt>
                <c:pt idx="36">
                  <c:v>0.54400000000000004</c:v>
                </c:pt>
                <c:pt idx="37">
                  <c:v>0.62790000000000001</c:v>
                </c:pt>
                <c:pt idx="38">
                  <c:v>0.34870000000000001</c:v>
                </c:pt>
                <c:pt idx="39">
                  <c:v>0.45379999999999998</c:v>
                </c:pt>
                <c:pt idx="40">
                  <c:v>1.66E-2</c:v>
                </c:pt>
                <c:pt idx="41">
                  <c:v>0.29570000000000002</c:v>
                </c:pt>
                <c:pt idx="42">
                  <c:v>8.8099999999999998E-2</c:v>
                </c:pt>
                <c:pt idx="43">
                  <c:v>0.53239999999999998</c:v>
                </c:pt>
                <c:pt idx="44">
                  <c:v>0.62729999999999997</c:v>
                </c:pt>
                <c:pt idx="45">
                  <c:v>0.54959999999999998</c:v>
                </c:pt>
                <c:pt idx="46">
                  <c:v>0.51729999999999998</c:v>
                </c:pt>
                <c:pt idx="47">
                  <c:v>0.41930000000000001</c:v>
                </c:pt>
                <c:pt idx="48">
                  <c:v>0.502</c:v>
                </c:pt>
                <c:pt idx="49">
                  <c:v>0.48559999999999998</c:v>
                </c:pt>
                <c:pt idx="50">
                  <c:v>0.55400000000000005</c:v>
                </c:pt>
                <c:pt idx="51">
                  <c:v>0.46860000000000002</c:v>
                </c:pt>
                <c:pt idx="52">
                  <c:v>0.34289999999999998</c:v>
                </c:pt>
                <c:pt idx="53">
                  <c:v>0.2571</c:v>
                </c:pt>
                <c:pt idx="54">
                  <c:v>0.1646</c:v>
                </c:pt>
                <c:pt idx="55">
                  <c:v>0.33929999999999999</c:v>
                </c:pt>
                <c:pt idx="56">
                  <c:v>0.23980000000000001</c:v>
                </c:pt>
                <c:pt idx="57">
                  <c:v>0.30719999999999997</c:v>
                </c:pt>
                <c:pt idx="58">
                  <c:v>0.30919999999999997</c:v>
                </c:pt>
                <c:pt idx="59">
                  <c:v>0.5393</c:v>
                </c:pt>
                <c:pt idx="60">
                  <c:v>0.51859999999999995</c:v>
                </c:pt>
                <c:pt idx="61">
                  <c:v>0.55110000000000003</c:v>
                </c:pt>
                <c:pt idx="62">
                  <c:v>0.55710000000000004</c:v>
                </c:pt>
                <c:pt idx="63">
                  <c:v>0.49099999999999999</c:v>
                </c:pt>
                <c:pt idx="64">
                  <c:v>0.50429999999999997</c:v>
                </c:pt>
                <c:pt idx="65">
                  <c:v>0.5413</c:v>
                </c:pt>
                <c:pt idx="66">
                  <c:v>0.52129999999999999</c:v>
                </c:pt>
                <c:pt idx="67">
                  <c:v>0.43930000000000002</c:v>
                </c:pt>
                <c:pt idx="68">
                  <c:v>0.4597</c:v>
                </c:pt>
                <c:pt idx="69">
                  <c:v>0.49559999999999998</c:v>
                </c:pt>
                <c:pt idx="70">
                  <c:v>0.40939999999999999</c:v>
                </c:pt>
                <c:pt idx="71">
                  <c:v>0.44790000000000002</c:v>
                </c:pt>
                <c:pt idx="72">
                  <c:v>0.36149999999999999</c:v>
                </c:pt>
                <c:pt idx="73">
                  <c:v>0.46310000000000001</c:v>
                </c:pt>
                <c:pt idx="74">
                  <c:v>0.52869999999999995</c:v>
                </c:pt>
                <c:pt idx="75">
                  <c:v>0.55120000000000002</c:v>
                </c:pt>
                <c:pt idx="76">
                  <c:v>0.51690000000000003</c:v>
                </c:pt>
                <c:pt idx="77">
                  <c:v>0.56930000000000003</c:v>
                </c:pt>
                <c:pt idx="78">
                  <c:v>0.5444</c:v>
                </c:pt>
                <c:pt idx="79">
                  <c:v>0.45340000000000003</c:v>
                </c:pt>
                <c:pt idx="80">
                  <c:v>0.56540000000000001</c:v>
                </c:pt>
                <c:pt idx="81">
                  <c:v>0.42420000000000002</c:v>
                </c:pt>
                <c:pt idx="82">
                  <c:v>0.46870000000000001</c:v>
                </c:pt>
                <c:pt idx="83">
                  <c:v>0.47939999999999999</c:v>
                </c:pt>
                <c:pt idx="84">
                  <c:v>0.45090000000000002</c:v>
                </c:pt>
                <c:pt idx="85">
                  <c:v>0.60740000000000005</c:v>
                </c:pt>
                <c:pt idx="86">
                  <c:v>0.58660000000000001</c:v>
                </c:pt>
                <c:pt idx="87">
                  <c:v>0.44450000000000001</c:v>
                </c:pt>
                <c:pt idx="88">
                  <c:v>0.46150000000000002</c:v>
                </c:pt>
                <c:pt idx="89">
                  <c:v>0.42609999999999998</c:v>
                </c:pt>
                <c:pt idx="90">
                  <c:v>0.53610000000000002</c:v>
                </c:pt>
                <c:pt idx="91">
                  <c:v>0.4118</c:v>
                </c:pt>
                <c:pt idx="92">
                  <c:v>0.4642</c:v>
                </c:pt>
                <c:pt idx="93">
                  <c:v>0.60780000000000001</c:v>
                </c:pt>
                <c:pt idx="94">
                  <c:v>0.50070000000000003</c:v>
                </c:pt>
                <c:pt idx="95">
                  <c:v>0.55979999999999996</c:v>
                </c:pt>
                <c:pt idx="96">
                  <c:v>0.59809999999999997</c:v>
                </c:pt>
                <c:pt idx="97">
                  <c:v>0.43409999999999999</c:v>
                </c:pt>
                <c:pt idx="98">
                  <c:v>0.47370000000000001</c:v>
                </c:pt>
                <c:pt idx="99">
                  <c:v>0.48780000000000001</c:v>
                </c:pt>
                <c:pt idx="100">
                  <c:v>0.48020000000000002</c:v>
                </c:pt>
                <c:pt idx="101">
                  <c:v>0.15759999999999999</c:v>
                </c:pt>
                <c:pt idx="102">
                  <c:v>0.33139999999999997</c:v>
                </c:pt>
                <c:pt idx="103">
                  <c:v>0.3422</c:v>
                </c:pt>
                <c:pt idx="104">
                  <c:v>0.39229999999999998</c:v>
                </c:pt>
                <c:pt idx="105">
                  <c:v>0.43230000000000002</c:v>
                </c:pt>
                <c:pt idx="106">
                  <c:v>0.36099999999999999</c:v>
                </c:pt>
                <c:pt idx="107">
                  <c:v>0.40770000000000001</c:v>
                </c:pt>
                <c:pt idx="108">
                  <c:v>0.43440000000000001</c:v>
                </c:pt>
                <c:pt idx="109">
                  <c:v>0.46810000000000002</c:v>
                </c:pt>
                <c:pt idx="110">
                  <c:v>0.28839999999999999</c:v>
                </c:pt>
                <c:pt idx="111">
                  <c:v>0.52180000000000004</c:v>
                </c:pt>
                <c:pt idx="112">
                  <c:v>0.52529999999999999</c:v>
                </c:pt>
                <c:pt idx="113">
                  <c:v>0.41199999999999998</c:v>
                </c:pt>
                <c:pt idx="114">
                  <c:v>0.19</c:v>
                </c:pt>
                <c:pt idx="115">
                  <c:v>0.23089999999999999</c:v>
                </c:pt>
                <c:pt idx="116">
                  <c:v>0.36230000000000001</c:v>
                </c:pt>
                <c:pt idx="117">
                  <c:v>0.1749</c:v>
                </c:pt>
                <c:pt idx="118">
                  <c:v>0.41589999999999999</c:v>
                </c:pt>
                <c:pt idx="119">
                  <c:v>0.29899999999999999</c:v>
                </c:pt>
                <c:pt idx="120">
                  <c:v>0.255</c:v>
                </c:pt>
                <c:pt idx="121">
                  <c:v>0.29399999999999998</c:v>
                </c:pt>
                <c:pt idx="122">
                  <c:v>0.26</c:v>
                </c:pt>
                <c:pt idx="123">
                  <c:v>0.21759999999999999</c:v>
                </c:pt>
                <c:pt idx="124">
                  <c:v>0.2016</c:v>
                </c:pt>
                <c:pt idx="125">
                  <c:v>0.29749999999999999</c:v>
                </c:pt>
                <c:pt idx="126">
                  <c:v>0.22689999999999999</c:v>
                </c:pt>
                <c:pt idx="127">
                  <c:v>0.16270000000000001</c:v>
                </c:pt>
                <c:pt idx="128">
                  <c:v>0.16789999999999999</c:v>
                </c:pt>
                <c:pt idx="129">
                  <c:v>0.1883</c:v>
                </c:pt>
                <c:pt idx="130">
                  <c:v>0.47520000000000001</c:v>
                </c:pt>
                <c:pt idx="131">
                  <c:v>0.3024</c:v>
                </c:pt>
                <c:pt idx="132">
                  <c:v>0.125</c:v>
                </c:pt>
                <c:pt idx="133">
                  <c:v>0.3029</c:v>
                </c:pt>
                <c:pt idx="134">
                  <c:v>0.39050000000000001</c:v>
                </c:pt>
                <c:pt idx="135">
                  <c:v>0.36890000000000001</c:v>
                </c:pt>
                <c:pt idx="136">
                  <c:v>0.24329999999999999</c:v>
                </c:pt>
                <c:pt idx="137">
                  <c:v>0.37730000000000002</c:v>
                </c:pt>
                <c:pt idx="138">
                  <c:v>0.44019999999999998</c:v>
                </c:pt>
                <c:pt idx="139">
                  <c:v>0.3614</c:v>
                </c:pt>
                <c:pt idx="140">
                  <c:v>0.34520000000000001</c:v>
                </c:pt>
                <c:pt idx="141">
                  <c:v>0.53269999999999995</c:v>
                </c:pt>
                <c:pt idx="142">
                  <c:v>0.48</c:v>
                </c:pt>
                <c:pt idx="143">
                  <c:v>0.1457</c:v>
                </c:pt>
                <c:pt idx="144">
                  <c:v>9.3299999999999994E-2</c:v>
                </c:pt>
                <c:pt idx="145">
                  <c:v>2.5100000000000001E-2</c:v>
                </c:pt>
                <c:pt idx="146">
                  <c:v>1.0800000000000001E-2</c:v>
                </c:pt>
                <c:pt idx="147">
                  <c:v>1.7899999999999999E-2</c:v>
                </c:pt>
                <c:pt idx="148">
                  <c:v>9.7999999999999997E-3</c:v>
                </c:pt>
                <c:pt idx="149">
                  <c:v>0.41039999999999999</c:v>
                </c:pt>
                <c:pt idx="150">
                  <c:v>0.50329999999999997</c:v>
                </c:pt>
                <c:pt idx="151">
                  <c:v>0.44550000000000001</c:v>
                </c:pt>
                <c:pt idx="152">
                  <c:v>0.50460000000000005</c:v>
                </c:pt>
                <c:pt idx="153">
                  <c:v>0.59660000000000002</c:v>
                </c:pt>
                <c:pt idx="154">
                  <c:v>0.32200000000000001</c:v>
                </c:pt>
                <c:pt idx="155">
                  <c:v>0.14219999999999999</c:v>
                </c:pt>
                <c:pt idx="156">
                  <c:v>4.3700000000000003E-2</c:v>
                </c:pt>
                <c:pt idx="157">
                  <c:v>5.8500000000000003E-2</c:v>
                </c:pt>
                <c:pt idx="158">
                  <c:v>0.24429999999999999</c:v>
                </c:pt>
                <c:pt idx="159">
                  <c:v>0.19739999999999999</c:v>
                </c:pt>
                <c:pt idx="160">
                  <c:v>0.38819999999999999</c:v>
                </c:pt>
                <c:pt idx="161">
                  <c:v>0.35449999999999998</c:v>
                </c:pt>
                <c:pt idx="162">
                  <c:v>0.45190000000000002</c:v>
                </c:pt>
                <c:pt idx="163">
                  <c:v>0.46639999999999998</c:v>
                </c:pt>
                <c:pt idx="164">
                  <c:v>0.30430000000000001</c:v>
                </c:pt>
                <c:pt idx="165">
                  <c:v>0.28670000000000001</c:v>
                </c:pt>
                <c:pt idx="166">
                  <c:v>0.40550000000000003</c:v>
                </c:pt>
                <c:pt idx="167">
                  <c:v>0.2863</c:v>
                </c:pt>
                <c:pt idx="168">
                  <c:v>0.43099999999999999</c:v>
                </c:pt>
                <c:pt idx="169">
                  <c:v>0.65959999999999996</c:v>
                </c:pt>
                <c:pt idx="170">
                  <c:v>0.29520000000000002</c:v>
                </c:pt>
                <c:pt idx="171">
                  <c:v>0.30349999999999999</c:v>
                </c:pt>
                <c:pt idx="172">
                  <c:v>0.24660000000000001</c:v>
                </c:pt>
                <c:pt idx="173">
                  <c:v>0.21990000000000001</c:v>
                </c:pt>
                <c:pt idx="174">
                  <c:v>0.33050000000000002</c:v>
                </c:pt>
                <c:pt idx="175">
                  <c:v>0.19420000000000001</c:v>
                </c:pt>
                <c:pt idx="176">
                  <c:v>0.1149</c:v>
                </c:pt>
                <c:pt idx="177">
                  <c:v>0.1113</c:v>
                </c:pt>
                <c:pt idx="178">
                  <c:v>0.10489999999999999</c:v>
                </c:pt>
                <c:pt idx="179">
                  <c:v>0.32600000000000001</c:v>
                </c:pt>
                <c:pt idx="180">
                  <c:v>0.18590000000000001</c:v>
                </c:pt>
                <c:pt idx="181">
                  <c:v>0.22289999999999999</c:v>
                </c:pt>
                <c:pt idx="182">
                  <c:v>0.26200000000000001</c:v>
                </c:pt>
                <c:pt idx="183">
                  <c:v>0.17380000000000001</c:v>
                </c:pt>
                <c:pt idx="184">
                  <c:v>7.2300000000000003E-2</c:v>
                </c:pt>
                <c:pt idx="185">
                  <c:v>0.12709999999999999</c:v>
                </c:pt>
                <c:pt idx="186">
                  <c:v>0.1535</c:v>
                </c:pt>
                <c:pt idx="187">
                  <c:v>0.22720000000000001</c:v>
                </c:pt>
                <c:pt idx="188">
                  <c:v>0.23219999999999999</c:v>
                </c:pt>
                <c:pt idx="189">
                  <c:v>0.20880000000000001</c:v>
                </c:pt>
                <c:pt idx="190">
                  <c:v>0.1467</c:v>
                </c:pt>
                <c:pt idx="191">
                  <c:v>0.4511</c:v>
                </c:pt>
                <c:pt idx="192">
                  <c:v>0.4264</c:v>
                </c:pt>
                <c:pt idx="193">
                  <c:v>0.49469999999999997</c:v>
                </c:pt>
                <c:pt idx="194">
                  <c:v>0.24</c:v>
                </c:pt>
                <c:pt idx="195">
                  <c:v>0.3009</c:v>
                </c:pt>
                <c:pt idx="196">
                  <c:v>0.31040000000000001</c:v>
                </c:pt>
                <c:pt idx="197">
                  <c:v>0.25569999999999998</c:v>
                </c:pt>
                <c:pt idx="198">
                  <c:v>0.1923</c:v>
                </c:pt>
                <c:pt idx="199">
                  <c:v>0.20730000000000001</c:v>
                </c:pt>
                <c:pt idx="200">
                  <c:v>0.24160000000000001</c:v>
                </c:pt>
                <c:pt idx="201">
                  <c:v>0.41420000000000001</c:v>
                </c:pt>
                <c:pt idx="202">
                  <c:v>0.40870000000000001</c:v>
                </c:pt>
                <c:pt idx="203">
                  <c:v>0.17810000000000001</c:v>
                </c:pt>
                <c:pt idx="204">
                  <c:v>0.51390000000000002</c:v>
                </c:pt>
                <c:pt idx="205">
                  <c:v>0.65610000000000002</c:v>
                </c:pt>
                <c:pt idx="206">
                  <c:v>0.36259999999999998</c:v>
                </c:pt>
                <c:pt idx="207">
                  <c:v>0.24829999999999999</c:v>
                </c:pt>
                <c:pt idx="208">
                  <c:v>0.504</c:v>
                </c:pt>
                <c:pt idx="209">
                  <c:v>0.52680000000000005</c:v>
                </c:pt>
                <c:pt idx="210">
                  <c:v>0.35339999999999999</c:v>
                </c:pt>
                <c:pt idx="211">
                  <c:v>0.25419999999999998</c:v>
                </c:pt>
                <c:pt idx="212">
                  <c:v>0.4078</c:v>
                </c:pt>
                <c:pt idx="213">
                  <c:v>0.35599999999999998</c:v>
                </c:pt>
                <c:pt idx="214">
                  <c:v>0.4612</c:v>
                </c:pt>
                <c:pt idx="215">
                  <c:v>0.5111</c:v>
                </c:pt>
                <c:pt idx="216">
                  <c:v>0.29160000000000003</c:v>
                </c:pt>
              </c:numCache>
            </c:numRef>
          </c:xVal>
          <c:yVal>
            <c:numRef>
              <c:f>Baltimore!$H$2:$H$218</c:f>
              <c:numCache>
                <c:formatCode>General</c:formatCode>
                <c:ptCount val="217"/>
                <c:pt idx="0">
                  <c:v>0.15870000000000001</c:v>
                </c:pt>
                <c:pt idx="1">
                  <c:v>8.6400000000000005E-2</c:v>
                </c:pt>
                <c:pt idx="2">
                  <c:v>0.29730000000000001</c:v>
                </c:pt>
                <c:pt idx="3">
                  <c:v>0.42220000000000002</c:v>
                </c:pt>
                <c:pt idx="4">
                  <c:v>0.47789999999999999</c:v>
                </c:pt>
                <c:pt idx="5">
                  <c:v>0.92120000000000002</c:v>
                </c:pt>
                <c:pt idx="6">
                  <c:v>0.5635</c:v>
                </c:pt>
                <c:pt idx="7">
                  <c:v>0</c:v>
                </c:pt>
                <c:pt idx="8">
                  <c:v>0</c:v>
                </c:pt>
                <c:pt idx="9">
                  <c:v>0.78680000000000005</c:v>
                </c:pt>
                <c:pt idx="10">
                  <c:v>0.40839999999999999</c:v>
                </c:pt>
                <c:pt idx="11">
                  <c:v>0.64229999999999998</c:v>
                </c:pt>
                <c:pt idx="12">
                  <c:v>0.5</c:v>
                </c:pt>
                <c:pt idx="13">
                  <c:v>0.84870000000000001</c:v>
                </c:pt>
                <c:pt idx="14">
                  <c:v>0.87849999999999995</c:v>
                </c:pt>
                <c:pt idx="15">
                  <c:v>0.54079999999999995</c:v>
                </c:pt>
                <c:pt idx="16">
                  <c:v>0.80620000000000003</c:v>
                </c:pt>
                <c:pt idx="17">
                  <c:v>0.65100000000000002</c:v>
                </c:pt>
                <c:pt idx="18">
                  <c:v>0.71199999999999997</c:v>
                </c:pt>
                <c:pt idx="19">
                  <c:v>0.60470000000000002</c:v>
                </c:pt>
                <c:pt idx="20">
                  <c:v>0.93279999999999996</c:v>
                </c:pt>
                <c:pt idx="21">
                  <c:v>0.68640000000000001</c:v>
                </c:pt>
                <c:pt idx="22">
                  <c:v>0.76529999999999998</c:v>
                </c:pt>
                <c:pt idx="23">
                  <c:v>0.84140000000000004</c:v>
                </c:pt>
                <c:pt idx="24">
                  <c:v>0.9385</c:v>
                </c:pt>
                <c:pt idx="25">
                  <c:v>1</c:v>
                </c:pt>
                <c:pt idx="26">
                  <c:v>0.97009999999999996</c:v>
                </c:pt>
                <c:pt idx="27">
                  <c:v>0.4728</c:v>
                </c:pt>
                <c:pt idx="28">
                  <c:v>0.44529999999999997</c:v>
                </c:pt>
                <c:pt idx="29">
                  <c:v>0.29930000000000001</c:v>
                </c:pt>
                <c:pt idx="30">
                  <c:v>0.78790000000000004</c:v>
                </c:pt>
                <c:pt idx="31">
                  <c:v>0.63590000000000002</c:v>
                </c:pt>
                <c:pt idx="32">
                  <c:v>0.85140000000000005</c:v>
                </c:pt>
                <c:pt idx="33">
                  <c:v>0.97789999999999999</c:v>
                </c:pt>
                <c:pt idx="34">
                  <c:v>0.95630000000000004</c:v>
                </c:pt>
                <c:pt idx="35">
                  <c:v>1</c:v>
                </c:pt>
                <c:pt idx="36">
                  <c:v>0.71899999999999997</c:v>
                </c:pt>
                <c:pt idx="37">
                  <c:v>0.97760000000000002</c:v>
                </c:pt>
                <c:pt idx="38">
                  <c:v>1</c:v>
                </c:pt>
                <c:pt idx="39">
                  <c:v>0</c:v>
                </c:pt>
                <c:pt idx="40">
                  <c:v>0.2772</c:v>
                </c:pt>
                <c:pt idx="41">
                  <c:v>0.18459999999999999</c:v>
                </c:pt>
                <c:pt idx="42">
                  <c:v>0</c:v>
                </c:pt>
                <c:pt idx="43">
                  <c:v>0.60070000000000001</c:v>
                </c:pt>
                <c:pt idx="44">
                  <c:v>0.74419999999999997</c:v>
                </c:pt>
                <c:pt idx="45">
                  <c:v>0.7571</c:v>
                </c:pt>
                <c:pt idx="46">
                  <c:v>0.91300000000000003</c:v>
                </c:pt>
                <c:pt idx="47">
                  <c:v>0.32319999999999999</c:v>
                </c:pt>
                <c:pt idx="48">
                  <c:v>0.71289999999999998</c:v>
                </c:pt>
                <c:pt idx="49">
                  <c:v>0.85709999999999997</c:v>
                </c:pt>
                <c:pt idx="50">
                  <c:v>0.6915</c:v>
                </c:pt>
                <c:pt idx="51">
                  <c:v>0.64410000000000001</c:v>
                </c:pt>
                <c:pt idx="52">
                  <c:v>0.2492</c:v>
                </c:pt>
                <c:pt idx="53">
                  <c:v>3.4599999999999999E-2</c:v>
                </c:pt>
                <c:pt idx="54">
                  <c:v>0.39860000000000001</c:v>
                </c:pt>
                <c:pt idx="55">
                  <c:v>0.63490000000000002</c:v>
                </c:pt>
                <c:pt idx="56">
                  <c:v>0.55769999999999997</c:v>
                </c:pt>
                <c:pt idx="57">
                  <c:v>0.5222</c:v>
                </c:pt>
                <c:pt idx="58">
                  <c:v>0</c:v>
                </c:pt>
                <c:pt idx="59">
                  <c:v>0.98080000000000001</c:v>
                </c:pt>
                <c:pt idx="60">
                  <c:v>0.74919999999999998</c:v>
                </c:pt>
                <c:pt idx="61">
                  <c:v>1</c:v>
                </c:pt>
                <c:pt idx="62">
                  <c:v>0.6512</c:v>
                </c:pt>
                <c:pt idx="63">
                  <c:v>0.55559999999999998</c:v>
                </c:pt>
                <c:pt idx="64">
                  <c:v>0.79490000000000005</c:v>
                </c:pt>
                <c:pt idx="65">
                  <c:v>0.86870000000000003</c:v>
                </c:pt>
                <c:pt idx="66">
                  <c:v>0.85489999999999999</c:v>
                </c:pt>
                <c:pt idx="67">
                  <c:v>0.82179999999999997</c:v>
                </c:pt>
                <c:pt idx="68">
                  <c:v>0.89600000000000002</c:v>
                </c:pt>
                <c:pt idx="69">
                  <c:v>0.81720000000000004</c:v>
                </c:pt>
                <c:pt idx="70">
                  <c:v>0.49609999999999999</c:v>
                </c:pt>
                <c:pt idx="71">
                  <c:v>0.80669999999999997</c:v>
                </c:pt>
                <c:pt idx="72">
                  <c:v>0.7823</c:v>
                </c:pt>
                <c:pt idx="73">
                  <c:v>0.73080000000000001</c:v>
                </c:pt>
                <c:pt idx="74">
                  <c:v>0.7681</c:v>
                </c:pt>
                <c:pt idx="75">
                  <c:v>0.85619999999999996</c:v>
                </c:pt>
                <c:pt idx="76">
                  <c:v>0.83789999999999998</c:v>
                </c:pt>
                <c:pt idx="77">
                  <c:v>0.85229999999999995</c:v>
                </c:pt>
                <c:pt idx="78">
                  <c:v>0.90780000000000005</c:v>
                </c:pt>
                <c:pt idx="79">
                  <c:v>0.69310000000000005</c:v>
                </c:pt>
                <c:pt idx="80">
                  <c:v>0.88</c:v>
                </c:pt>
                <c:pt idx="81">
                  <c:v>0.7147</c:v>
                </c:pt>
                <c:pt idx="82">
                  <c:v>0.73240000000000005</c:v>
                </c:pt>
                <c:pt idx="83">
                  <c:v>0.75929999999999997</c:v>
                </c:pt>
                <c:pt idx="84">
                  <c:v>0.93330000000000002</c:v>
                </c:pt>
                <c:pt idx="85">
                  <c:v>0.89929999999999999</c:v>
                </c:pt>
                <c:pt idx="86">
                  <c:v>0.94069999999999998</c:v>
                </c:pt>
                <c:pt idx="87">
                  <c:v>0.98299999999999998</c:v>
                </c:pt>
                <c:pt idx="88">
                  <c:v>0.66669999999999996</c:v>
                </c:pt>
                <c:pt idx="89">
                  <c:v>0.8478</c:v>
                </c:pt>
                <c:pt idx="90">
                  <c:v>0.97450000000000003</c:v>
                </c:pt>
                <c:pt idx="91">
                  <c:v>0.73680000000000001</c:v>
                </c:pt>
                <c:pt idx="92">
                  <c:v>0.64470000000000005</c:v>
                </c:pt>
                <c:pt idx="93">
                  <c:v>0.66339999999999999</c:v>
                </c:pt>
                <c:pt idx="94">
                  <c:v>0.44550000000000001</c:v>
                </c:pt>
                <c:pt idx="95">
                  <c:v>0.92379999999999995</c:v>
                </c:pt>
                <c:pt idx="96">
                  <c:v>0.81330000000000002</c:v>
                </c:pt>
                <c:pt idx="97">
                  <c:v>0.59860000000000002</c:v>
                </c:pt>
                <c:pt idx="98">
                  <c:v>0.74339999999999995</c:v>
                </c:pt>
                <c:pt idx="99">
                  <c:v>0.85919999999999996</c:v>
                </c:pt>
                <c:pt idx="100">
                  <c:v>0.75839999999999996</c:v>
                </c:pt>
                <c:pt idx="101">
                  <c:v>0.51949999999999996</c:v>
                </c:pt>
                <c:pt idx="102">
                  <c:v>0.60540000000000005</c:v>
                </c:pt>
                <c:pt idx="103">
                  <c:v>0.55700000000000005</c:v>
                </c:pt>
                <c:pt idx="104">
                  <c:v>0.5615</c:v>
                </c:pt>
                <c:pt idx="105">
                  <c:v>0.56340000000000001</c:v>
                </c:pt>
                <c:pt idx="106">
                  <c:v>0.65939999999999999</c:v>
                </c:pt>
                <c:pt idx="107">
                  <c:v>0.85919999999999996</c:v>
                </c:pt>
                <c:pt idx="108">
                  <c:v>0.89059999999999995</c:v>
                </c:pt>
                <c:pt idx="109">
                  <c:v>0.86760000000000004</c:v>
                </c:pt>
                <c:pt idx="110">
                  <c:v>0.51329999999999998</c:v>
                </c:pt>
                <c:pt idx="111">
                  <c:v>0.67410000000000003</c:v>
                </c:pt>
                <c:pt idx="112">
                  <c:v>0.79059999999999997</c:v>
                </c:pt>
                <c:pt idx="113">
                  <c:v>0.70140000000000002</c:v>
                </c:pt>
                <c:pt idx="114">
                  <c:v>0.44700000000000001</c:v>
                </c:pt>
                <c:pt idx="115">
                  <c:v>0.44</c:v>
                </c:pt>
                <c:pt idx="116">
                  <c:v>0.38119999999999998</c:v>
                </c:pt>
                <c:pt idx="117">
                  <c:v>0.30070000000000002</c:v>
                </c:pt>
                <c:pt idx="118">
                  <c:v>0.31380000000000002</c:v>
                </c:pt>
                <c:pt idx="119">
                  <c:v>0.1079</c:v>
                </c:pt>
                <c:pt idx="120">
                  <c:v>0.58330000000000004</c:v>
                </c:pt>
                <c:pt idx="121">
                  <c:v>0.46379999999999999</c:v>
                </c:pt>
                <c:pt idx="122">
                  <c:v>0.33329999999999999</c:v>
                </c:pt>
                <c:pt idx="123">
                  <c:v>0.31850000000000001</c:v>
                </c:pt>
                <c:pt idx="124">
                  <c:v>0.25359999999999999</c:v>
                </c:pt>
                <c:pt idx="125">
                  <c:v>0.7127</c:v>
                </c:pt>
                <c:pt idx="126">
                  <c:v>0.18809999999999999</c:v>
                </c:pt>
                <c:pt idx="127">
                  <c:v>0.14630000000000001</c:v>
                </c:pt>
                <c:pt idx="128">
                  <c:v>0.44440000000000002</c:v>
                </c:pt>
                <c:pt idx="129">
                  <c:v>0.37030000000000002</c:v>
                </c:pt>
                <c:pt idx="130">
                  <c:v>0.77839999999999998</c:v>
                </c:pt>
                <c:pt idx="131">
                  <c:v>0.92789999999999995</c:v>
                </c:pt>
                <c:pt idx="132">
                  <c:v>7.0699999999999999E-2</c:v>
                </c:pt>
                <c:pt idx="133">
                  <c:v>0.60119999999999996</c:v>
                </c:pt>
                <c:pt idx="134">
                  <c:v>0.625</c:v>
                </c:pt>
                <c:pt idx="135">
                  <c:v>0.48859999999999998</c:v>
                </c:pt>
                <c:pt idx="136">
                  <c:v>0.45450000000000002</c:v>
                </c:pt>
                <c:pt idx="137">
                  <c:v>0.69189999999999996</c:v>
                </c:pt>
                <c:pt idx="138">
                  <c:v>0.45040000000000002</c:v>
                </c:pt>
                <c:pt idx="139">
                  <c:v>0.75660000000000005</c:v>
                </c:pt>
                <c:pt idx="140">
                  <c:v>0.69789999999999996</c:v>
                </c:pt>
                <c:pt idx="141">
                  <c:v>0.85909999999999997</c:v>
                </c:pt>
                <c:pt idx="142">
                  <c:v>0.87060000000000004</c:v>
                </c:pt>
                <c:pt idx="143">
                  <c:v>0.36299999999999999</c:v>
                </c:pt>
                <c:pt idx="144">
                  <c:v>7.2400000000000006E-2</c:v>
                </c:pt>
                <c:pt idx="145">
                  <c:v>9.8900000000000002E-2</c:v>
                </c:pt>
                <c:pt idx="146">
                  <c:v>9.7900000000000001E-2</c:v>
                </c:pt>
                <c:pt idx="147">
                  <c:v>0.2205</c:v>
                </c:pt>
                <c:pt idx="148">
                  <c:v>0.1426</c:v>
                </c:pt>
                <c:pt idx="149">
                  <c:v>0.31030000000000002</c:v>
                </c:pt>
                <c:pt idx="150">
                  <c:v>0.75780000000000003</c:v>
                </c:pt>
                <c:pt idx="151">
                  <c:v>0.49059999999999998</c:v>
                </c:pt>
                <c:pt idx="152">
                  <c:v>0.83250000000000002</c:v>
                </c:pt>
                <c:pt idx="153">
                  <c:v>0.95179999999999998</c:v>
                </c:pt>
                <c:pt idx="154">
                  <c:v>0.43940000000000001</c:v>
                </c:pt>
                <c:pt idx="155">
                  <c:v>0.40100000000000002</c:v>
                </c:pt>
                <c:pt idx="156">
                  <c:v>0.15409999999999999</c:v>
                </c:pt>
                <c:pt idx="157">
                  <c:v>0.125</c:v>
                </c:pt>
                <c:pt idx="158">
                  <c:v>0.39050000000000001</c:v>
                </c:pt>
                <c:pt idx="159">
                  <c:v>0.5746</c:v>
                </c:pt>
                <c:pt idx="160">
                  <c:v>0.6008</c:v>
                </c:pt>
                <c:pt idx="161">
                  <c:v>0.59009999999999996</c:v>
                </c:pt>
                <c:pt idx="162">
                  <c:v>0.58109999999999995</c:v>
                </c:pt>
                <c:pt idx="163">
                  <c:v>0.79620000000000002</c:v>
                </c:pt>
                <c:pt idx="164">
                  <c:v>0.86350000000000005</c:v>
                </c:pt>
                <c:pt idx="165">
                  <c:v>0.34870000000000001</c:v>
                </c:pt>
                <c:pt idx="166">
                  <c:v>0.5242</c:v>
                </c:pt>
                <c:pt idx="167">
                  <c:v>0.58979999999999999</c:v>
                </c:pt>
                <c:pt idx="168">
                  <c:v>0.90439999999999998</c:v>
                </c:pt>
                <c:pt idx="169">
                  <c:v>0.90869999999999995</c:v>
                </c:pt>
                <c:pt idx="170">
                  <c:v>0.3599</c:v>
                </c:pt>
                <c:pt idx="171">
                  <c:v>0.4365</c:v>
                </c:pt>
                <c:pt idx="172">
                  <c:v>0.58499999999999996</c:v>
                </c:pt>
                <c:pt idx="173">
                  <c:v>0.14460000000000001</c:v>
                </c:pt>
                <c:pt idx="174">
                  <c:v>0.16869999999999999</c:v>
                </c:pt>
                <c:pt idx="175">
                  <c:v>0.1694</c:v>
                </c:pt>
                <c:pt idx="176">
                  <c:v>0.1714</c:v>
                </c:pt>
                <c:pt idx="177">
                  <c:v>0.1217</c:v>
                </c:pt>
                <c:pt idx="178">
                  <c:v>0.51829999999999998</c:v>
                </c:pt>
                <c:pt idx="179">
                  <c:v>0.48220000000000002</c:v>
                </c:pt>
                <c:pt idx="180">
                  <c:v>0.38100000000000001</c:v>
                </c:pt>
                <c:pt idx="181">
                  <c:v>0.5534</c:v>
                </c:pt>
                <c:pt idx="182">
                  <c:v>0.78249999999999997</c:v>
                </c:pt>
                <c:pt idx="183">
                  <c:v>0.17699999999999999</c:v>
                </c:pt>
                <c:pt idx="184">
                  <c:v>0.2271</c:v>
                </c:pt>
                <c:pt idx="185">
                  <c:v>0.16250000000000001</c:v>
                </c:pt>
                <c:pt idx="186">
                  <c:v>0.38350000000000001</c:v>
                </c:pt>
                <c:pt idx="187">
                  <c:v>0.45300000000000001</c:v>
                </c:pt>
                <c:pt idx="188">
                  <c:v>0.31900000000000001</c:v>
                </c:pt>
                <c:pt idx="189">
                  <c:v>0</c:v>
                </c:pt>
                <c:pt idx="190">
                  <c:v>0.27910000000000001</c:v>
                </c:pt>
                <c:pt idx="191">
                  <c:v>0.47449999999999998</c:v>
                </c:pt>
                <c:pt idx="192">
                  <c:v>0.74590000000000001</c:v>
                </c:pt>
                <c:pt idx="193">
                  <c:v>0.7772</c:v>
                </c:pt>
                <c:pt idx="194">
                  <c:v>0.56899999999999995</c:v>
                </c:pt>
                <c:pt idx="195">
                  <c:v>0</c:v>
                </c:pt>
                <c:pt idx="196">
                  <c:v>0.13639999999999999</c:v>
                </c:pt>
                <c:pt idx="197">
                  <c:v>0.12709999999999999</c:v>
                </c:pt>
                <c:pt idx="198">
                  <c:v>8.5900000000000004E-2</c:v>
                </c:pt>
                <c:pt idx="199">
                  <c:v>0</c:v>
                </c:pt>
                <c:pt idx="200">
                  <c:v>8.6800000000000002E-2</c:v>
                </c:pt>
                <c:pt idx="201">
                  <c:v>0.874</c:v>
                </c:pt>
                <c:pt idx="202">
                  <c:v>0.8458</c:v>
                </c:pt>
                <c:pt idx="203">
                  <c:v>0.43219999999999997</c:v>
                </c:pt>
                <c:pt idx="204">
                  <c:v>0.67889999999999995</c:v>
                </c:pt>
                <c:pt idx="205">
                  <c:v>0.92759999999999998</c:v>
                </c:pt>
                <c:pt idx="206">
                  <c:v>0.59599999999999997</c:v>
                </c:pt>
                <c:pt idx="207">
                  <c:v>0.21210000000000001</c:v>
                </c:pt>
                <c:pt idx="208">
                  <c:v>0.66220000000000001</c:v>
                </c:pt>
                <c:pt idx="209">
                  <c:v>1</c:v>
                </c:pt>
                <c:pt idx="210">
                  <c:v>0.48480000000000001</c:v>
                </c:pt>
                <c:pt idx="211">
                  <c:v>0.6885</c:v>
                </c:pt>
                <c:pt idx="212">
                  <c:v>0.62929999999999997</c:v>
                </c:pt>
                <c:pt idx="213">
                  <c:v>0.65100000000000002</c:v>
                </c:pt>
                <c:pt idx="214">
                  <c:v>0</c:v>
                </c:pt>
                <c:pt idx="215">
                  <c:v>0.85599999999999998</c:v>
                </c:pt>
                <c:pt idx="216">
                  <c:v>0.43630000000000002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4-244D-B2E9-50236AE04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253552"/>
        <c:axId val="1410206976"/>
      </c:scatterChart>
      <c:valAx>
        <c:axId val="14532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206976"/>
        <c:crosses val="autoZero"/>
        <c:crossBetween val="midCat"/>
      </c:valAx>
      <c:valAx>
        <c:axId val="14102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Baltimore Single Parent</a:t>
            </a:r>
            <a:r>
              <a:rPr lang="en-US" baseline="0%"/>
              <a:t> vs Poverty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90485564304463"/>
                  <c:y val="-0.2904957713619130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Baltimore!$H$2:$H$218</c:f>
              <c:numCache>
                <c:formatCode>General</c:formatCode>
                <c:ptCount val="217"/>
                <c:pt idx="0">
                  <c:v>0.15870000000000001</c:v>
                </c:pt>
                <c:pt idx="1">
                  <c:v>8.6400000000000005E-2</c:v>
                </c:pt>
                <c:pt idx="2">
                  <c:v>0.29730000000000001</c:v>
                </c:pt>
                <c:pt idx="3">
                  <c:v>0.42220000000000002</c:v>
                </c:pt>
                <c:pt idx="4">
                  <c:v>0.47789999999999999</c:v>
                </c:pt>
                <c:pt idx="5">
                  <c:v>0.92120000000000002</c:v>
                </c:pt>
                <c:pt idx="6">
                  <c:v>0.5635</c:v>
                </c:pt>
                <c:pt idx="7">
                  <c:v>0</c:v>
                </c:pt>
                <c:pt idx="8">
                  <c:v>0</c:v>
                </c:pt>
                <c:pt idx="9">
                  <c:v>0.78680000000000005</c:v>
                </c:pt>
                <c:pt idx="10">
                  <c:v>0.40839999999999999</c:v>
                </c:pt>
                <c:pt idx="11">
                  <c:v>0.64229999999999998</c:v>
                </c:pt>
                <c:pt idx="12">
                  <c:v>0.5</c:v>
                </c:pt>
                <c:pt idx="13">
                  <c:v>0.84870000000000001</c:v>
                </c:pt>
                <c:pt idx="14">
                  <c:v>0.87849999999999995</c:v>
                </c:pt>
                <c:pt idx="15">
                  <c:v>0.54079999999999995</c:v>
                </c:pt>
                <c:pt idx="16">
                  <c:v>0.80620000000000003</c:v>
                </c:pt>
                <c:pt idx="17">
                  <c:v>0.65100000000000002</c:v>
                </c:pt>
                <c:pt idx="18">
                  <c:v>0.71199999999999997</c:v>
                </c:pt>
                <c:pt idx="19">
                  <c:v>0.60470000000000002</c:v>
                </c:pt>
                <c:pt idx="20">
                  <c:v>0.93279999999999996</c:v>
                </c:pt>
                <c:pt idx="21">
                  <c:v>0.68640000000000001</c:v>
                </c:pt>
                <c:pt idx="22">
                  <c:v>0.76529999999999998</c:v>
                </c:pt>
                <c:pt idx="23">
                  <c:v>0.84140000000000004</c:v>
                </c:pt>
                <c:pt idx="24">
                  <c:v>0.9385</c:v>
                </c:pt>
                <c:pt idx="25">
                  <c:v>1</c:v>
                </c:pt>
                <c:pt idx="26">
                  <c:v>0.97009999999999996</c:v>
                </c:pt>
                <c:pt idx="27">
                  <c:v>0.4728</c:v>
                </c:pt>
                <c:pt idx="28">
                  <c:v>0.44529999999999997</c:v>
                </c:pt>
                <c:pt idx="29">
                  <c:v>0.29930000000000001</c:v>
                </c:pt>
                <c:pt idx="30">
                  <c:v>0.78790000000000004</c:v>
                </c:pt>
                <c:pt idx="31">
                  <c:v>0.63590000000000002</c:v>
                </c:pt>
                <c:pt idx="32">
                  <c:v>0.85140000000000005</c:v>
                </c:pt>
                <c:pt idx="33">
                  <c:v>0.97789999999999999</c:v>
                </c:pt>
                <c:pt idx="34">
                  <c:v>0.95630000000000004</c:v>
                </c:pt>
                <c:pt idx="35">
                  <c:v>1</c:v>
                </c:pt>
                <c:pt idx="36">
                  <c:v>0.71899999999999997</c:v>
                </c:pt>
                <c:pt idx="37">
                  <c:v>0.97760000000000002</c:v>
                </c:pt>
                <c:pt idx="38">
                  <c:v>1</c:v>
                </c:pt>
                <c:pt idx="39">
                  <c:v>0</c:v>
                </c:pt>
                <c:pt idx="40">
                  <c:v>0.2772</c:v>
                </c:pt>
                <c:pt idx="41">
                  <c:v>0.18459999999999999</c:v>
                </c:pt>
                <c:pt idx="42">
                  <c:v>0</c:v>
                </c:pt>
                <c:pt idx="43">
                  <c:v>0.60070000000000001</c:v>
                </c:pt>
                <c:pt idx="44">
                  <c:v>0.74419999999999997</c:v>
                </c:pt>
                <c:pt idx="45">
                  <c:v>0.7571</c:v>
                </c:pt>
                <c:pt idx="46">
                  <c:v>0.91300000000000003</c:v>
                </c:pt>
                <c:pt idx="47">
                  <c:v>0.32319999999999999</c:v>
                </c:pt>
                <c:pt idx="48">
                  <c:v>0.71289999999999998</c:v>
                </c:pt>
                <c:pt idx="49">
                  <c:v>0.85709999999999997</c:v>
                </c:pt>
                <c:pt idx="50">
                  <c:v>0.6915</c:v>
                </c:pt>
                <c:pt idx="51">
                  <c:v>0.64410000000000001</c:v>
                </c:pt>
                <c:pt idx="52">
                  <c:v>0.2492</c:v>
                </c:pt>
                <c:pt idx="53">
                  <c:v>3.4599999999999999E-2</c:v>
                </c:pt>
                <c:pt idx="54">
                  <c:v>0.39860000000000001</c:v>
                </c:pt>
                <c:pt idx="55">
                  <c:v>0.63490000000000002</c:v>
                </c:pt>
                <c:pt idx="56">
                  <c:v>0.55769999999999997</c:v>
                </c:pt>
                <c:pt idx="57">
                  <c:v>0.5222</c:v>
                </c:pt>
                <c:pt idx="58">
                  <c:v>0</c:v>
                </c:pt>
                <c:pt idx="59">
                  <c:v>0.98080000000000001</c:v>
                </c:pt>
                <c:pt idx="60">
                  <c:v>0.74919999999999998</c:v>
                </c:pt>
                <c:pt idx="61">
                  <c:v>1</c:v>
                </c:pt>
                <c:pt idx="62">
                  <c:v>0.6512</c:v>
                </c:pt>
                <c:pt idx="63">
                  <c:v>0.55559999999999998</c:v>
                </c:pt>
                <c:pt idx="64">
                  <c:v>0.79490000000000005</c:v>
                </c:pt>
                <c:pt idx="65">
                  <c:v>0.86870000000000003</c:v>
                </c:pt>
                <c:pt idx="66">
                  <c:v>0.85489999999999999</c:v>
                </c:pt>
                <c:pt idx="67">
                  <c:v>0.82179999999999997</c:v>
                </c:pt>
                <c:pt idx="68">
                  <c:v>0.89600000000000002</c:v>
                </c:pt>
                <c:pt idx="69">
                  <c:v>0.81720000000000004</c:v>
                </c:pt>
                <c:pt idx="70">
                  <c:v>0.49609999999999999</c:v>
                </c:pt>
                <c:pt idx="71">
                  <c:v>0.80669999999999997</c:v>
                </c:pt>
                <c:pt idx="72">
                  <c:v>0.7823</c:v>
                </c:pt>
                <c:pt idx="73">
                  <c:v>0.73080000000000001</c:v>
                </c:pt>
                <c:pt idx="74">
                  <c:v>0.7681</c:v>
                </c:pt>
                <c:pt idx="75">
                  <c:v>0.85619999999999996</c:v>
                </c:pt>
                <c:pt idx="76">
                  <c:v>0.83789999999999998</c:v>
                </c:pt>
                <c:pt idx="77">
                  <c:v>0.85229999999999995</c:v>
                </c:pt>
                <c:pt idx="78">
                  <c:v>0.90780000000000005</c:v>
                </c:pt>
                <c:pt idx="79">
                  <c:v>0.69310000000000005</c:v>
                </c:pt>
                <c:pt idx="80">
                  <c:v>0.88</c:v>
                </c:pt>
                <c:pt idx="81">
                  <c:v>0.7147</c:v>
                </c:pt>
                <c:pt idx="82">
                  <c:v>0.73240000000000005</c:v>
                </c:pt>
                <c:pt idx="83">
                  <c:v>0.75929999999999997</c:v>
                </c:pt>
                <c:pt idx="84">
                  <c:v>0.93330000000000002</c:v>
                </c:pt>
                <c:pt idx="85">
                  <c:v>0.89929999999999999</c:v>
                </c:pt>
                <c:pt idx="86">
                  <c:v>0.94069999999999998</c:v>
                </c:pt>
                <c:pt idx="87">
                  <c:v>0.98299999999999998</c:v>
                </c:pt>
                <c:pt idx="88">
                  <c:v>0.66669999999999996</c:v>
                </c:pt>
                <c:pt idx="89">
                  <c:v>0.8478</c:v>
                </c:pt>
                <c:pt idx="90">
                  <c:v>0.97450000000000003</c:v>
                </c:pt>
                <c:pt idx="91">
                  <c:v>0.73680000000000001</c:v>
                </c:pt>
                <c:pt idx="92">
                  <c:v>0.64470000000000005</c:v>
                </c:pt>
                <c:pt idx="93">
                  <c:v>0.66339999999999999</c:v>
                </c:pt>
                <c:pt idx="94">
                  <c:v>0.44550000000000001</c:v>
                </c:pt>
                <c:pt idx="95">
                  <c:v>0.92379999999999995</c:v>
                </c:pt>
                <c:pt idx="96">
                  <c:v>0.81330000000000002</c:v>
                </c:pt>
                <c:pt idx="97">
                  <c:v>0.59860000000000002</c:v>
                </c:pt>
                <c:pt idx="98">
                  <c:v>0.74339999999999995</c:v>
                </c:pt>
                <c:pt idx="99">
                  <c:v>0.85919999999999996</c:v>
                </c:pt>
                <c:pt idx="100">
                  <c:v>0.75839999999999996</c:v>
                </c:pt>
                <c:pt idx="101">
                  <c:v>0.51949999999999996</c:v>
                </c:pt>
                <c:pt idx="102">
                  <c:v>0.60540000000000005</c:v>
                </c:pt>
                <c:pt idx="103">
                  <c:v>0.55700000000000005</c:v>
                </c:pt>
                <c:pt idx="104">
                  <c:v>0.5615</c:v>
                </c:pt>
                <c:pt idx="105">
                  <c:v>0.56340000000000001</c:v>
                </c:pt>
                <c:pt idx="106">
                  <c:v>0.65939999999999999</c:v>
                </c:pt>
                <c:pt idx="107">
                  <c:v>0.85919999999999996</c:v>
                </c:pt>
                <c:pt idx="108">
                  <c:v>0.89059999999999995</c:v>
                </c:pt>
                <c:pt idx="109">
                  <c:v>0.86760000000000004</c:v>
                </c:pt>
                <c:pt idx="110">
                  <c:v>0.51329999999999998</c:v>
                </c:pt>
                <c:pt idx="111">
                  <c:v>0.67410000000000003</c:v>
                </c:pt>
                <c:pt idx="112">
                  <c:v>0.79059999999999997</c:v>
                </c:pt>
                <c:pt idx="113">
                  <c:v>0.70140000000000002</c:v>
                </c:pt>
                <c:pt idx="114">
                  <c:v>0.44700000000000001</c:v>
                </c:pt>
                <c:pt idx="115">
                  <c:v>0.44</c:v>
                </c:pt>
                <c:pt idx="116">
                  <c:v>0.38119999999999998</c:v>
                </c:pt>
                <c:pt idx="117">
                  <c:v>0.30070000000000002</c:v>
                </c:pt>
                <c:pt idx="118">
                  <c:v>0.31380000000000002</c:v>
                </c:pt>
                <c:pt idx="119">
                  <c:v>0.1079</c:v>
                </c:pt>
                <c:pt idx="120">
                  <c:v>0.58330000000000004</c:v>
                </c:pt>
                <c:pt idx="121">
                  <c:v>0.46379999999999999</c:v>
                </c:pt>
                <c:pt idx="122">
                  <c:v>0.33329999999999999</c:v>
                </c:pt>
                <c:pt idx="123">
                  <c:v>0.31850000000000001</c:v>
                </c:pt>
                <c:pt idx="124">
                  <c:v>0.25359999999999999</c:v>
                </c:pt>
                <c:pt idx="125">
                  <c:v>0.7127</c:v>
                </c:pt>
                <c:pt idx="126">
                  <c:v>0.18809999999999999</c:v>
                </c:pt>
                <c:pt idx="127">
                  <c:v>0.14630000000000001</c:v>
                </c:pt>
                <c:pt idx="128">
                  <c:v>0.44440000000000002</c:v>
                </c:pt>
                <c:pt idx="129">
                  <c:v>0.37030000000000002</c:v>
                </c:pt>
                <c:pt idx="130">
                  <c:v>0.77839999999999998</c:v>
                </c:pt>
                <c:pt idx="131">
                  <c:v>0.92789999999999995</c:v>
                </c:pt>
                <c:pt idx="132">
                  <c:v>7.0699999999999999E-2</c:v>
                </c:pt>
                <c:pt idx="133">
                  <c:v>0.60119999999999996</c:v>
                </c:pt>
                <c:pt idx="134">
                  <c:v>0.625</c:v>
                </c:pt>
                <c:pt idx="135">
                  <c:v>0.48859999999999998</c:v>
                </c:pt>
                <c:pt idx="136">
                  <c:v>0.45450000000000002</c:v>
                </c:pt>
                <c:pt idx="137">
                  <c:v>0.69189999999999996</c:v>
                </c:pt>
                <c:pt idx="138">
                  <c:v>0.45040000000000002</c:v>
                </c:pt>
                <c:pt idx="139">
                  <c:v>0.75660000000000005</c:v>
                </c:pt>
                <c:pt idx="140">
                  <c:v>0.69789999999999996</c:v>
                </c:pt>
                <c:pt idx="141">
                  <c:v>0.85909999999999997</c:v>
                </c:pt>
                <c:pt idx="142">
                  <c:v>0.87060000000000004</c:v>
                </c:pt>
                <c:pt idx="143">
                  <c:v>0.36299999999999999</c:v>
                </c:pt>
                <c:pt idx="144">
                  <c:v>7.2400000000000006E-2</c:v>
                </c:pt>
                <c:pt idx="145">
                  <c:v>9.8900000000000002E-2</c:v>
                </c:pt>
                <c:pt idx="146">
                  <c:v>9.7900000000000001E-2</c:v>
                </c:pt>
                <c:pt idx="147">
                  <c:v>0.2205</c:v>
                </c:pt>
                <c:pt idx="148">
                  <c:v>0.1426</c:v>
                </c:pt>
                <c:pt idx="149">
                  <c:v>0.31030000000000002</c:v>
                </c:pt>
                <c:pt idx="150">
                  <c:v>0.75780000000000003</c:v>
                </c:pt>
                <c:pt idx="151">
                  <c:v>0.49059999999999998</c:v>
                </c:pt>
                <c:pt idx="152">
                  <c:v>0.83250000000000002</c:v>
                </c:pt>
                <c:pt idx="153">
                  <c:v>0.95179999999999998</c:v>
                </c:pt>
                <c:pt idx="154">
                  <c:v>0.43940000000000001</c:v>
                </c:pt>
                <c:pt idx="155">
                  <c:v>0.40100000000000002</c:v>
                </c:pt>
                <c:pt idx="156">
                  <c:v>0.15409999999999999</c:v>
                </c:pt>
                <c:pt idx="157">
                  <c:v>0.125</c:v>
                </c:pt>
                <c:pt idx="158">
                  <c:v>0.39050000000000001</c:v>
                </c:pt>
                <c:pt idx="159">
                  <c:v>0.5746</c:v>
                </c:pt>
                <c:pt idx="160">
                  <c:v>0.6008</c:v>
                </c:pt>
                <c:pt idx="161">
                  <c:v>0.59009999999999996</c:v>
                </c:pt>
                <c:pt idx="162">
                  <c:v>0.58109999999999995</c:v>
                </c:pt>
                <c:pt idx="163">
                  <c:v>0.79620000000000002</c:v>
                </c:pt>
                <c:pt idx="164">
                  <c:v>0.86350000000000005</c:v>
                </c:pt>
                <c:pt idx="165">
                  <c:v>0.34870000000000001</c:v>
                </c:pt>
                <c:pt idx="166">
                  <c:v>0.5242</c:v>
                </c:pt>
                <c:pt idx="167">
                  <c:v>0.58979999999999999</c:v>
                </c:pt>
                <c:pt idx="168">
                  <c:v>0.90439999999999998</c:v>
                </c:pt>
                <c:pt idx="169">
                  <c:v>0.90869999999999995</c:v>
                </c:pt>
                <c:pt idx="170">
                  <c:v>0.3599</c:v>
                </c:pt>
                <c:pt idx="171">
                  <c:v>0.4365</c:v>
                </c:pt>
                <c:pt idx="172">
                  <c:v>0.58499999999999996</c:v>
                </c:pt>
                <c:pt idx="173">
                  <c:v>0.14460000000000001</c:v>
                </c:pt>
                <c:pt idx="174">
                  <c:v>0.16869999999999999</c:v>
                </c:pt>
                <c:pt idx="175">
                  <c:v>0.1694</c:v>
                </c:pt>
                <c:pt idx="176">
                  <c:v>0.1714</c:v>
                </c:pt>
                <c:pt idx="177">
                  <c:v>0.1217</c:v>
                </c:pt>
                <c:pt idx="178">
                  <c:v>0.51829999999999998</c:v>
                </c:pt>
                <c:pt idx="179">
                  <c:v>0.48220000000000002</c:v>
                </c:pt>
                <c:pt idx="180">
                  <c:v>0.38100000000000001</c:v>
                </c:pt>
                <c:pt idx="181">
                  <c:v>0.5534</c:v>
                </c:pt>
                <c:pt idx="182">
                  <c:v>0.78249999999999997</c:v>
                </c:pt>
                <c:pt idx="183">
                  <c:v>0.17699999999999999</c:v>
                </c:pt>
                <c:pt idx="184">
                  <c:v>0.2271</c:v>
                </c:pt>
                <c:pt idx="185">
                  <c:v>0.16250000000000001</c:v>
                </c:pt>
                <c:pt idx="186">
                  <c:v>0.38350000000000001</c:v>
                </c:pt>
                <c:pt idx="187">
                  <c:v>0.45300000000000001</c:v>
                </c:pt>
                <c:pt idx="188">
                  <c:v>0.31900000000000001</c:v>
                </c:pt>
                <c:pt idx="189">
                  <c:v>0</c:v>
                </c:pt>
                <c:pt idx="190">
                  <c:v>0.27910000000000001</c:v>
                </c:pt>
                <c:pt idx="191">
                  <c:v>0.47449999999999998</c:v>
                </c:pt>
                <c:pt idx="192">
                  <c:v>0.74590000000000001</c:v>
                </c:pt>
                <c:pt idx="193">
                  <c:v>0.7772</c:v>
                </c:pt>
                <c:pt idx="194">
                  <c:v>0.56899999999999995</c:v>
                </c:pt>
                <c:pt idx="195">
                  <c:v>0</c:v>
                </c:pt>
                <c:pt idx="196">
                  <c:v>0.13639999999999999</c:v>
                </c:pt>
                <c:pt idx="197">
                  <c:v>0.12709999999999999</c:v>
                </c:pt>
                <c:pt idx="198">
                  <c:v>8.5900000000000004E-2</c:v>
                </c:pt>
                <c:pt idx="199">
                  <c:v>0</c:v>
                </c:pt>
                <c:pt idx="200">
                  <c:v>8.6800000000000002E-2</c:v>
                </c:pt>
                <c:pt idx="201">
                  <c:v>0.874</c:v>
                </c:pt>
                <c:pt idx="202">
                  <c:v>0.8458</c:v>
                </c:pt>
                <c:pt idx="203">
                  <c:v>0.43219999999999997</c:v>
                </c:pt>
                <c:pt idx="204">
                  <c:v>0.67889999999999995</c:v>
                </c:pt>
                <c:pt idx="205">
                  <c:v>0.92759999999999998</c:v>
                </c:pt>
                <c:pt idx="206">
                  <c:v>0.59599999999999997</c:v>
                </c:pt>
                <c:pt idx="207">
                  <c:v>0.21210000000000001</c:v>
                </c:pt>
                <c:pt idx="208">
                  <c:v>0.66220000000000001</c:v>
                </c:pt>
                <c:pt idx="209">
                  <c:v>1</c:v>
                </c:pt>
                <c:pt idx="210">
                  <c:v>0.48480000000000001</c:v>
                </c:pt>
                <c:pt idx="211">
                  <c:v>0.6885</c:v>
                </c:pt>
                <c:pt idx="212">
                  <c:v>0.62929999999999997</c:v>
                </c:pt>
                <c:pt idx="213">
                  <c:v>0.65100000000000002</c:v>
                </c:pt>
                <c:pt idx="214">
                  <c:v>0</c:v>
                </c:pt>
                <c:pt idx="215">
                  <c:v>0.85599999999999998</c:v>
                </c:pt>
                <c:pt idx="216">
                  <c:v>0.43630000000000002</c:v>
                </c:pt>
              </c:numCache>
            </c:numRef>
          </c:xVal>
          <c:yVal>
            <c:numRef>
              <c:f>Baltimore!$D$2:$D$218</c:f>
              <c:numCache>
                <c:formatCode>General</c:formatCode>
                <c:ptCount val="217"/>
                <c:pt idx="0">
                  <c:v>0.1062</c:v>
                </c:pt>
                <c:pt idx="1">
                  <c:v>6.0100000000000001E-2</c:v>
                </c:pt>
                <c:pt idx="2">
                  <c:v>7.8200000000000006E-2</c:v>
                </c:pt>
                <c:pt idx="3">
                  <c:v>0.1002</c:v>
                </c:pt>
                <c:pt idx="4">
                  <c:v>0.15179999999999999</c:v>
                </c:pt>
                <c:pt idx="5">
                  <c:v>0.41899999999999998</c:v>
                </c:pt>
                <c:pt idx="6">
                  <c:v>0.21890000000000001</c:v>
                </c:pt>
                <c:pt idx="7">
                  <c:v>0.26579999999999998</c:v>
                </c:pt>
                <c:pt idx="8">
                  <c:v>0.29599999999999999</c:v>
                </c:pt>
                <c:pt idx="9">
                  <c:v>0.32679999999999998</c:v>
                </c:pt>
                <c:pt idx="10">
                  <c:v>0.23710000000000001</c:v>
                </c:pt>
                <c:pt idx="11">
                  <c:v>0.22600000000000001</c:v>
                </c:pt>
                <c:pt idx="12">
                  <c:v>0.22159999999999999</c:v>
                </c:pt>
                <c:pt idx="13">
                  <c:v>0.35880000000000001</c:v>
                </c:pt>
                <c:pt idx="14">
                  <c:v>0.43669999999999998</c:v>
                </c:pt>
                <c:pt idx="15">
                  <c:v>0.53800000000000003</c:v>
                </c:pt>
                <c:pt idx="16">
                  <c:v>0.4743</c:v>
                </c:pt>
                <c:pt idx="17">
                  <c:v>0.1469</c:v>
                </c:pt>
                <c:pt idx="18">
                  <c:v>0.27810000000000001</c:v>
                </c:pt>
                <c:pt idx="19">
                  <c:v>0.24329999999999999</c:v>
                </c:pt>
                <c:pt idx="20">
                  <c:v>0.23039999999999999</c:v>
                </c:pt>
                <c:pt idx="21">
                  <c:v>0.32200000000000001</c:v>
                </c:pt>
                <c:pt idx="22">
                  <c:v>0.51190000000000002</c:v>
                </c:pt>
                <c:pt idx="23">
                  <c:v>0.3266</c:v>
                </c:pt>
                <c:pt idx="24">
                  <c:v>0.28620000000000001</c:v>
                </c:pt>
                <c:pt idx="25">
                  <c:v>0.2873</c:v>
                </c:pt>
                <c:pt idx="26">
                  <c:v>0.49280000000000002</c:v>
                </c:pt>
                <c:pt idx="27">
                  <c:v>0.2059</c:v>
                </c:pt>
                <c:pt idx="28">
                  <c:v>0.1113</c:v>
                </c:pt>
                <c:pt idx="29">
                  <c:v>0.23849999999999999</c:v>
                </c:pt>
                <c:pt idx="30">
                  <c:v>0.30480000000000002</c:v>
                </c:pt>
                <c:pt idx="31">
                  <c:v>0.16020000000000001</c:v>
                </c:pt>
                <c:pt idx="32">
                  <c:v>0.17219999999999999</c:v>
                </c:pt>
                <c:pt idx="33">
                  <c:v>0.31290000000000001</c:v>
                </c:pt>
                <c:pt idx="34">
                  <c:v>0.3669</c:v>
                </c:pt>
                <c:pt idx="35">
                  <c:v>0.25890000000000002</c:v>
                </c:pt>
                <c:pt idx="36">
                  <c:v>0.42649999999999999</c:v>
                </c:pt>
                <c:pt idx="37">
                  <c:v>0.43140000000000001</c:v>
                </c:pt>
                <c:pt idx="38">
                  <c:v>0.2155</c:v>
                </c:pt>
                <c:pt idx="39">
                  <c:v>0.19209999999999999</c:v>
                </c:pt>
                <c:pt idx="40">
                  <c:v>0.1774</c:v>
                </c:pt>
                <c:pt idx="41">
                  <c:v>0.21479999999999999</c:v>
                </c:pt>
                <c:pt idx="42">
                  <c:v>0.36020000000000002</c:v>
                </c:pt>
                <c:pt idx="43">
                  <c:v>0.2949</c:v>
                </c:pt>
                <c:pt idx="44">
                  <c:v>0.42670000000000002</c:v>
                </c:pt>
                <c:pt idx="45">
                  <c:v>0.29530000000000001</c:v>
                </c:pt>
                <c:pt idx="46">
                  <c:v>0.43930000000000002</c:v>
                </c:pt>
                <c:pt idx="47">
                  <c:v>0.1734</c:v>
                </c:pt>
                <c:pt idx="48">
                  <c:v>0.33660000000000001</c:v>
                </c:pt>
                <c:pt idx="49">
                  <c:v>0.34899999999999998</c:v>
                </c:pt>
                <c:pt idx="50">
                  <c:v>0.33100000000000002</c:v>
                </c:pt>
                <c:pt idx="51">
                  <c:v>0.30499999999999999</c:v>
                </c:pt>
                <c:pt idx="52">
                  <c:v>0.1043</c:v>
                </c:pt>
                <c:pt idx="53">
                  <c:v>5.9299999999999999E-2</c:v>
                </c:pt>
                <c:pt idx="54">
                  <c:v>9.1200000000000003E-2</c:v>
                </c:pt>
                <c:pt idx="55">
                  <c:v>0.15590000000000001</c:v>
                </c:pt>
                <c:pt idx="56">
                  <c:v>0.13769999999999999</c:v>
                </c:pt>
                <c:pt idx="57">
                  <c:v>0.1159</c:v>
                </c:pt>
                <c:pt idx="58">
                  <c:v>0.17680000000000001</c:v>
                </c:pt>
                <c:pt idx="59">
                  <c:v>0.56599999999999995</c:v>
                </c:pt>
                <c:pt idx="60">
                  <c:v>0.42620000000000002</c:v>
                </c:pt>
                <c:pt idx="61">
                  <c:v>0.47320000000000001</c:v>
                </c:pt>
                <c:pt idx="62">
                  <c:v>0.26329999999999998</c:v>
                </c:pt>
                <c:pt idx="63">
                  <c:v>0.2349</c:v>
                </c:pt>
                <c:pt idx="64">
                  <c:v>0.16209999999999999</c:v>
                </c:pt>
                <c:pt idx="65">
                  <c:v>0.26490000000000002</c:v>
                </c:pt>
                <c:pt idx="66">
                  <c:v>0.29239999999999999</c:v>
                </c:pt>
                <c:pt idx="67">
                  <c:v>0.19159999999999999</c:v>
                </c:pt>
                <c:pt idx="68">
                  <c:v>0.23730000000000001</c:v>
                </c:pt>
                <c:pt idx="69">
                  <c:v>0.25629999999999997</c:v>
                </c:pt>
                <c:pt idx="70">
                  <c:v>0.21829999999999999</c:v>
                </c:pt>
                <c:pt idx="71">
                  <c:v>0.27450000000000002</c:v>
                </c:pt>
                <c:pt idx="72">
                  <c:v>0.15690000000000001</c:v>
                </c:pt>
                <c:pt idx="73">
                  <c:v>0.31559999999999999</c:v>
                </c:pt>
                <c:pt idx="74">
                  <c:v>0.44309999999999999</c:v>
                </c:pt>
                <c:pt idx="75">
                  <c:v>0.38790000000000002</c:v>
                </c:pt>
                <c:pt idx="76">
                  <c:v>0.3034</c:v>
                </c:pt>
                <c:pt idx="77">
                  <c:v>0.39369999999999999</c:v>
                </c:pt>
                <c:pt idx="78">
                  <c:v>0.37769999999999998</c:v>
                </c:pt>
                <c:pt idx="79">
                  <c:v>0.25690000000000002</c:v>
                </c:pt>
                <c:pt idx="80">
                  <c:v>0.36230000000000001</c:v>
                </c:pt>
                <c:pt idx="81">
                  <c:v>0.37159999999999999</c:v>
                </c:pt>
                <c:pt idx="82">
                  <c:v>0.18340000000000001</c:v>
                </c:pt>
                <c:pt idx="83">
                  <c:v>0.12809999999999999</c:v>
                </c:pt>
                <c:pt idx="84">
                  <c:v>0.27839999999999998</c:v>
                </c:pt>
                <c:pt idx="85">
                  <c:v>0.51980000000000004</c:v>
                </c:pt>
                <c:pt idx="86">
                  <c:v>0.31030000000000002</c:v>
                </c:pt>
                <c:pt idx="87">
                  <c:v>0.58599999999999997</c:v>
                </c:pt>
                <c:pt idx="88">
                  <c:v>0.40699999999999997</c:v>
                </c:pt>
                <c:pt idx="89">
                  <c:v>0.36149999999999999</c:v>
                </c:pt>
                <c:pt idx="90">
                  <c:v>0.38719999999999999</c:v>
                </c:pt>
                <c:pt idx="91">
                  <c:v>0.33079999999999998</c:v>
                </c:pt>
                <c:pt idx="92">
                  <c:v>0.36259999999999998</c:v>
                </c:pt>
                <c:pt idx="93">
                  <c:v>0.47499999999999998</c:v>
                </c:pt>
                <c:pt idx="94">
                  <c:v>0.38719999999999999</c:v>
                </c:pt>
                <c:pt idx="95">
                  <c:v>0.4375</c:v>
                </c:pt>
                <c:pt idx="96">
                  <c:v>0.38800000000000001</c:v>
                </c:pt>
                <c:pt idx="97">
                  <c:v>0.28260000000000002</c:v>
                </c:pt>
                <c:pt idx="98">
                  <c:v>0.26979999999999998</c:v>
                </c:pt>
                <c:pt idx="99">
                  <c:v>0.39560000000000001</c:v>
                </c:pt>
                <c:pt idx="100">
                  <c:v>0.26150000000000001</c:v>
                </c:pt>
                <c:pt idx="101">
                  <c:v>0.1106</c:v>
                </c:pt>
                <c:pt idx="102">
                  <c:v>0.18720000000000001</c:v>
                </c:pt>
                <c:pt idx="103">
                  <c:v>0.1152</c:v>
                </c:pt>
                <c:pt idx="104">
                  <c:v>0.17730000000000001</c:v>
                </c:pt>
                <c:pt idx="105">
                  <c:v>0.18029999999999999</c:v>
                </c:pt>
                <c:pt idx="106">
                  <c:v>0.21279999999999999</c:v>
                </c:pt>
                <c:pt idx="107">
                  <c:v>0.31630000000000003</c:v>
                </c:pt>
                <c:pt idx="108">
                  <c:v>0.27510000000000001</c:v>
                </c:pt>
                <c:pt idx="109">
                  <c:v>0.37080000000000002</c:v>
                </c:pt>
                <c:pt idx="110">
                  <c:v>0.19689999999999999</c:v>
                </c:pt>
                <c:pt idx="111">
                  <c:v>0.2457</c:v>
                </c:pt>
                <c:pt idx="112">
                  <c:v>0.2989</c:v>
                </c:pt>
                <c:pt idx="113">
                  <c:v>0.3004</c:v>
                </c:pt>
                <c:pt idx="114">
                  <c:v>0.11219999999999999</c:v>
                </c:pt>
                <c:pt idx="115">
                  <c:v>0.2243</c:v>
                </c:pt>
                <c:pt idx="116">
                  <c:v>0.26840000000000003</c:v>
                </c:pt>
                <c:pt idx="117">
                  <c:v>7.9699999999999993E-2</c:v>
                </c:pt>
                <c:pt idx="118">
                  <c:v>0.1847</c:v>
                </c:pt>
                <c:pt idx="119">
                  <c:v>0.104</c:v>
                </c:pt>
                <c:pt idx="120">
                  <c:v>0.28989999999999999</c:v>
                </c:pt>
                <c:pt idx="121">
                  <c:v>8.9200000000000002E-2</c:v>
                </c:pt>
                <c:pt idx="122">
                  <c:v>9.7100000000000006E-2</c:v>
                </c:pt>
                <c:pt idx="123">
                  <c:v>0.11260000000000001</c:v>
                </c:pt>
                <c:pt idx="124">
                  <c:v>0.12180000000000001</c:v>
                </c:pt>
                <c:pt idx="125">
                  <c:v>0.14779999999999999</c:v>
                </c:pt>
                <c:pt idx="126">
                  <c:v>9.7600000000000006E-2</c:v>
                </c:pt>
                <c:pt idx="127">
                  <c:v>6.7799999999999999E-2</c:v>
                </c:pt>
                <c:pt idx="128">
                  <c:v>0.1341</c:v>
                </c:pt>
                <c:pt idx="129">
                  <c:v>0.13250000000000001</c:v>
                </c:pt>
                <c:pt idx="130">
                  <c:v>0.2417</c:v>
                </c:pt>
                <c:pt idx="131">
                  <c:v>0.1278</c:v>
                </c:pt>
                <c:pt idx="132">
                  <c:v>8.1900000000000001E-2</c:v>
                </c:pt>
                <c:pt idx="133">
                  <c:v>0.188</c:v>
                </c:pt>
                <c:pt idx="134">
                  <c:v>0.15909999999999999</c:v>
                </c:pt>
                <c:pt idx="135">
                  <c:v>0.14099999999999999</c:v>
                </c:pt>
                <c:pt idx="136">
                  <c:v>0.18390000000000001</c:v>
                </c:pt>
                <c:pt idx="137">
                  <c:v>0.11260000000000001</c:v>
                </c:pt>
                <c:pt idx="138">
                  <c:v>0.1056</c:v>
                </c:pt>
                <c:pt idx="139">
                  <c:v>8.9899999999999994E-2</c:v>
                </c:pt>
                <c:pt idx="140">
                  <c:v>0.19550000000000001</c:v>
                </c:pt>
                <c:pt idx="141">
                  <c:v>0.2046</c:v>
                </c:pt>
                <c:pt idx="142">
                  <c:v>0.35759999999999997</c:v>
                </c:pt>
                <c:pt idx="143">
                  <c:v>0.27389999999999998</c:v>
                </c:pt>
                <c:pt idx="144">
                  <c:v>2.9700000000000001E-2</c:v>
                </c:pt>
                <c:pt idx="145">
                  <c:v>6.2100000000000002E-2</c:v>
                </c:pt>
                <c:pt idx="146">
                  <c:v>6.2700000000000006E-2</c:v>
                </c:pt>
                <c:pt idx="147">
                  <c:v>9.7500000000000003E-2</c:v>
                </c:pt>
                <c:pt idx="148">
                  <c:v>7.9899999999999999E-2</c:v>
                </c:pt>
                <c:pt idx="149">
                  <c:v>4.5600000000000002E-2</c:v>
                </c:pt>
                <c:pt idx="150">
                  <c:v>0.34439999999999998</c:v>
                </c:pt>
                <c:pt idx="151">
                  <c:v>0.187</c:v>
                </c:pt>
                <c:pt idx="152">
                  <c:v>0.33710000000000001</c:v>
                </c:pt>
                <c:pt idx="153">
                  <c:v>0.3483</c:v>
                </c:pt>
                <c:pt idx="154">
                  <c:v>0.2616</c:v>
                </c:pt>
                <c:pt idx="155">
                  <c:v>5.1499999999999997E-2</c:v>
                </c:pt>
                <c:pt idx="156">
                  <c:v>0.10150000000000001</c:v>
                </c:pt>
                <c:pt idx="157">
                  <c:v>0.1845</c:v>
                </c:pt>
                <c:pt idx="158">
                  <c:v>0.1963</c:v>
                </c:pt>
                <c:pt idx="159">
                  <c:v>0.23449999999999999</c:v>
                </c:pt>
                <c:pt idx="160">
                  <c:v>0.3105</c:v>
                </c:pt>
                <c:pt idx="161">
                  <c:v>0.2213</c:v>
                </c:pt>
                <c:pt idx="162">
                  <c:v>0.23469999999999999</c:v>
                </c:pt>
                <c:pt idx="163">
                  <c:v>0.25430000000000003</c:v>
                </c:pt>
                <c:pt idx="164">
                  <c:v>0.24690000000000001</c:v>
                </c:pt>
                <c:pt idx="165">
                  <c:v>0.121</c:v>
                </c:pt>
                <c:pt idx="166">
                  <c:v>8.48E-2</c:v>
                </c:pt>
                <c:pt idx="167">
                  <c:v>6.9400000000000003E-2</c:v>
                </c:pt>
                <c:pt idx="168">
                  <c:v>0.25380000000000003</c:v>
                </c:pt>
                <c:pt idx="169">
                  <c:v>0.68520000000000003</c:v>
                </c:pt>
                <c:pt idx="170">
                  <c:v>0.24010000000000001</c:v>
                </c:pt>
                <c:pt idx="171">
                  <c:v>0.1913</c:v>
                </c:pt>
                <c:pt idx="172">
                  <c:v>0.158</c:v>
                </c:pt>
                <c:pt idx="173">
                  <c:v>0.1193</c:v>
                </c:pt>
                <c:pt idx="174">
                  <c:v>2.9899999999999999E-2</c:v>
                </c:pt>
                <c:pt idx="175">
                  <c:v>0.124</c:v>
                </c:pt>
                <c:pt idx="176">
                  <c:v>8.2100000000000006E-2</c:v>
                </c:pt>
                <c:pt idx="177">
                  <c:v>6.54E-2</c:v>
                </c:pt>
                <c:pt idx="178">
                  <c:v>0.13650000000000001</c:v>
                </c:pt>
                <c:pt idx="179">
                  <c:v>0.3044</c:v>
                </c:pt>
                <c:pt idx="180">
                  <c:v>0.1027</c:v>
                </c:pt>
                <c:pt idx="181">
                  <c:v>0.11600000000000001</c:v>
                </c:pt>
                <c:pt idx="182">
                  <c:v>0.316</c:v>
                </c:pt>
                <c:pt idx="183">
                  <c:v>0.14710000000000001</c:v>
                </c:pt>
                <c:pt idx="184">
                  <c:v>6.1100000000000002E-2</c:v>
                </c:pt>
                <c:pt idx="185">
                  <c:v>5.6399999999999999E-2</c:v>
                </c:pt>
                <c:pt idx="186">
                  <c:v>8.0699999999999994E-2</c:v>
                </c:pt>
                <c:pt idx="187">
                  <c:v>0.1678</c:v>
                </c:pt>
                <c:pt idx="188">
                  <c:v>0.1047</c:v>
                </c:pt>
                <c:pt idx="189">
                  <c:v>4.3499999999999997E-2</c:v>
                </c:pt>
                <c:pt idx="190">
                  <c:v>8.0199999999999994E-2</c:v>
                </c:pt>
                <c:pt idx="191">
                  <c:v>0.45939999999999998</c:v>
                </c:pt>
                <c:pt idx="192">
                  <c:v>0.27229999999999999</c:v>
                </c:pt>
                <c:pt idx="193">
                  <c:v>0.34250000000000003</c:v>
                </c:pt>
                <c:pt idx="194">
                  <c:v>0.18160000000000001</c:v>
                </c:pt>
                <c:pt idx="195">
                  <c:v>7.0300000000000001E-2</c:v>
                </c:pt>
                <c:pt idx="196">
                  <c:v>9.35E-2</c:v>
                </c:pt>
                <c:pt idx="197">
                  <c:v>4.87E-2</c:v>
                </c:pt>
                <c:pt idx="198">
                  <c:v>3.0599999999999999E-2</c:v>
                </c:pt>
                <c:pt idx="199">
                  <c:v>7.6700000000000004E-2</c:v>
                </c:pt>
                <c:pt idx="200">
                  <c:v>1.6799999999999999E-2</c:v>
                </c:pt>
                <c:pt idx="201">
                  <c:v>0.22650000000000001</c:v>
                </c:pt>
                <c:pt idx="202">
                  <c:v>0.14280000000000001</c:v>
                </c:pt>
                <c:pt idx="203">
                  <c:v>0.1865</c:v>
                </c:pt>
                <c:pt idx="204">
                  <c:v>0.25990000000000002</c:v>
                </c:pt>
                <c:pt idx="205">
                  <c:v>0.6532</c:v>
                </c:pt>
                <c:pt idx="206">
                  <c:v>0.16159999999999999</c:v>
                </c:pt>
                <c:pt idx="207">
                  <c:v>0.20630000000000001</c:v>
                </c:pt>
                <c:pt idx="208">
                  <c:v>0.2021</c:v>
                </c:pt>
                <c:pt idx="209">
                  <c:v>0.33550000000000002</c:v>
                </c:pt>
                <c:pt idx="210">
                  <c:v>0.35549999999999998</c:v>
                </c:pt>
                <c:pt idx="211">
                  <c:v>0.21990000000000001</c:v>
                </c:pt>
                <c:pt idx="212">
                  <c:v>0.3518</c:v>
                </c:pt>
                <c:pt idx="213">
                  <c:v>0.31780000000000003</c:v>
                </c:pt>
                <c:pt idx="214">
                  <c:v>0</c:v>
                </c:pt>
                <c:pt idx="215">
                  <c:v>0.42909999999999998</c:v>
                </c:pt>
                <c:pt idx="216">
                  <c:v>0.26750000000000002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9-6E43-9491-63351AA2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253552"/>
        <c:axId val="1410206976"/>
      </c:scatterChart>
      <c:valAx>
        <c:axId val="14532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206976"/>
        <c:crosses val="autoZero"/>
        <c:crossBetween val="midCat"/>
      </c:valAx>
      <c:valAx>
        <c:axId val="14102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Sussex</a:t>
            </a:r>
            <a:r>
              <a:rPr lang="en-US" baseline="0%"/>
              <a:t> County </a:t>
            </a:r>
            <a:r>
              <a:rPr lang="en-US"/>
              <a:t>Teen Birth vs Single Parent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851487314085742"/>
                  <c:y val="-0.29414698162729658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'Sussex County'!$E$2:$E$57</c:f>
              <c:numCache>
                <c:formatCode>General</c:formatCode>
                <c:ptCount val="56"/>
                <c:pt idx="0">
                  <c:v>8.5300000000000001E-2</c:v>
                </c:pt>
                <c:pt idx="1">
                  <c:v>0.16719999999999999</c:v>
                </c:pt>
                <c:pt idx="2">
                  <c:v>0</c:v>
                </c:pt>
                <c:pt idx="3">
                  <c:v>9.8699999999999996E-2</c:v>
                </c:pt>
                <c:pt idx="4">
                  <c:v>0.20730000000000001</c:v>
                </c:pt>
                <c:pt idx="5">
                  <c:v>6.8500000000000005E-2</c:v>
                </c:pt>
                <c:pt idx="6">
                  <c:v>0.14019999999999999</c:v>
                </c:pt>
                <c:pt idx="7">
                  <c:v>1.38E-2</c:v>
                </c:pt>
                <c:pt idx="8">
                  <c:v>2.7799999999999998E-2</c:v>
                </c:pt>
                <c:pt idx="9">
                  <c:v>9.5699999999999993E-2</c:v>
                </c:pt>
                <c:pt idx="10">
                  <c:v>0.19189999999999999</c:v>
                </c:pt>
                <c:pt idx="11">
                  <c:v>0.21709999999999999</c:v>
                </c:pt>
                <c:pt idx="12">
                  <c:v>0.12479999999999999</c:v>
                </c:pt>
                <c:pt idx="13">
                  <c:v>7.2400000000000006E-2</c:v>
                </c:pt>
                <c:pt idx="14">
                  <c:v>0.11409999999999999</c:v>
                </c:pt>
                <c:pt idx="15">
                  <c:v>0.13669999999999999</c:v>
                </c:pt>
                <c:pt idx="16">
                  <c:v>3.4000000000000002E-2</c:v>
                </c:pt>
                <c:pt idx="17">
                  <c:v>0.2218</c:v>
                </c:pt>
                <c:pt idx="18">
                  <c:v>0.13489999999999999</c:v>
                </c:pt>
                <c:pt idx="19">
                  <c:v>0.1888</c:v>
                </c:pt>
                <c:pt idx="20">
                  <c:v>2.5499999999999998E-2</c:v>
                </c:pt>
                <c:pt idx="21">
                  <c:v>0.24929999999999999</c:v>
                </c:pt>
                <c:pt idx="22">
                  <c:v>0.26889999999999997</c:v>
                </c:pt>
                <c:pt idx="23">
                  <c:v>0.13619999999999999</c:v>
                </c:pt>
                <c:pt idx="24">
                  <c:v>0.2462</c:v>
                </c:pt>
                <c:pt idx="25">
                  <c:v>0.22750000000000001</c:v>
                </c:pt>
                <c:pt idx="26">
                  <c:v>0.23530000000000001</c:v>
                </c:pt>
                <c:pt idx="27">
                  <c:v>0.2346</c:v>
                </c:pt>
                <c:pt idx="28">
                  <c:v>0.1295</c:v>
                </c:pt>
                <c:pt idx="29">
                  <c:v>0.28649999999999998</c:v>
                </c:pt>
                <c:pt idx="30">
                  <c:v>0.20230000000000001</c:v>
                </c:pt>
                <c:pt idx="31">
                  <c:v>0.2364</c:v>
                </c:pt>
                <c:pt idx="32">
                  <c:v>0.21149999999999999</c:v>
                </c:pt>
                <c:pt idx="33">
                  <c:v>0.2467</c:v>
                </c:pt>
                <c:pt idx="34">
                  <c:v>0.2102</c:v>
                </c:pt>
                <c:pt idx="35">
                  <c:v>0.2626</c:v>
                </c:pt>
                <c:pt idx="36">
                  <c:v>0.27589999999999998</c:v>
                </c:pt>
                <c:pt idx="37">
                  <c:v>0.2457</c:v>
                </c:pt>
                <c:pt idx="38">
                  <c:v>0.2487</c:v>
                </c:pt>
                <c:pt idx="39">
                  <c:v>0.1762</c:v>
                </c:pt>
                <c:pt idx="40">
                  <c:v>0.18659999999999999</c:v>
                </c:pt>
                <c:pt idx="41">
                  <c:v>0.32240000000000002</c:v>
                </c:pt>
                <c:pt idx="42">
                  <c:v>0.30520000000000003</c:v>
                </c:pt>
                <c:pt idx="43">
                  <c:v>0.20330000000000001</c:v>
                </c:pt>
                <c:pt idx="44">
                  <c:v>0.25109999999999999</c:v>
                </c:pt>
                <c:pt idx="45">
                  <c:v>0.20399999999999999</c:v>
                </c:pt>
                <c:pt idx="46">
                  <c:v>0.2757</c:v>
                </c:pt>
                <c:pt idx="47">
                  <c:v>0.33850000000000002</c:v>
                </c:pt>
                <c:pt idx="48">
                  <c:v>0.22600000000000001</c:v>
                </c:pt>
                <c:pt idx="49">
                  <c:v>0.29549999999999998</c:v>
                </c:pt>
                <c:pt idx="50">
                  <c:v>0.1983</c:v>
                </c:pt>
                <c:pt idx="51">
                  <c:v>0.21890000000000001</c:v>
                </c:pt>
                <c:pt idx="52">
                  <c:v>0.39689999999999998</c:v>
                </c:pt>
                <c:pt idx="53">
                  <c:v>0.29609999999999997</c:v>
                </c:pt>
                <c:pt idx="54">
                  <c:v>0.32040000000000002</c:v>
                </c:pt>
                <c:pt idx="55">
                  <c:v>0.34849999999999998</c:v>
                </c:pt>
              </c:numCache>
            </c:numRef>
          </c:xVal>
          <c:yVal>
            <c:numRef>
              <c:f>'Sussex County'!$H$2:$H$57</c:f>
              <c:numCache>
                <c:formatCode>General</c:formatCode>
                <c:ptCount val="56"/>
                <c:pt idx="0">
                  <c:v>0</c:v>
                </c:pt>
                <c:pt idx="1">
                  <c:v>0.90910000000000002</c:v>
                </c:pt>
                <c:pt idx="2">
                  <c:v>0.16669999999999999</c:v>
                </c:pt>
                <c:pt idx="3">
                  <c:v>0.37059999999999998</c:v>
                </c:pt>
                <c:pt idx="4">
                  <c:v>0.10059999999999999</c:v>
                </c:pt>
                <c:pt idx="5">
                  <c:v>9.3200000000000005E-2</c:v>
                </c:pt>
                <c:pt idx="6">
                  <c:v>0.32119999999999999</c:v>
                </c:pt>
                <c:pt idx="7">
                  <c:v>0.23780000000000001</c:v>
                </c:pt>
                <c:pt idx="8">
                  <c:v>0.1429</c:v>
                </c:pt>
                <c:pt idx="9">
                  <c:v>0.40889999999999999</c:v>
                </c:pt>
                <c:pt idx="10">
                  <c:v>0.14710000000000001</c:v>
                </c:pt>
                <c:pt idx="11">
                  <c:v>0.55969999999999998</c:v>
                </c:pt>
                <c:pt idx="12">
                  <c:v>0.36880000000000002</c:v>
                </c:pt>
                <c:pt idx="13">
                  <c:v>0.58250000000000002</c:v>
                </c:pt>
                <c:pt idx="14">
                  <c:v>0.24729999999999999</c:v>
                </c:pt>
                <c:pt idx="15">
                  <c:v>0.34129999999999999</c:v>
                </c:pt>
                <c:pt idx="16">
                  <c:v>0.54810000000000003</c:v>
                </c:pt>
                <c:pt idx="17">
                  <c:v>0.57889999999999997</c:v>
                </c:pt>
                <c:pt idx="18">
                  <c:v>0.17530000000000001</c:v>
                </c:pt>
                <c:pt idx="19">
                  <c:v>0.39150000000000001</c:v>
                </c:pt>
                <c:pt idx="20">
                  <c:v>0.2432</c:v>
                </c:pt>
                <c:pt idx="21">
                  <c:v>0.46879999999999999</c:v>
                </c:pt>
                <c:pt idx="22">
                  <c:v>0.17899999999999999</c:v>
                </c:pt>
                <c:pt idx="23">
                  <c:v>0.15970000000000001</c:v>
                </c:pt>
                <c:pt idx="24">
                  <c:v>0.14019999999999999</c:v>
                </c:pt>
                <c:pt idx="25">
                  <c:v>0.1515</c:v>
                </c:pt>
                <c:pt idx="26">
                  <c:v>0.28649999999999998</c:v>
                </c:pt>
                <c:pt idx="27">
                  <c:v>0.25719999999999998</c:v>
                </c:pt>
                <c:pt idx="28">
                  <c:v>0.18329999999999999</c:v>
                </c:pt>
                <c:pt idx="29">
                  <c:v>0.47060000000000002</c:v>
                </c:pt>
                <c:pt idx="30">
                  <c:v>0.53910000000000002</c:v>
                </c:pt>
                <c:pt idx="31">
                  <c:v>0.40389999999999998</c:v>
                </c:pt>
                <c:pt idx="32">
                  <c:v>0.35639999999999999</c:v>
                </c:pt>
                <c:pt idx="33">
                  <c:v>0.3125</c:v>
                </c:pt>
                <c:pt idx="34">
                  <c:v>0.33729999999999999</c:v>
                </c:pt>
                <c:pt idx="35">
                  <c:v>0.32369999999999999</c:v>
                </c:pt>
                <c:pt idx="36">
                  <c:v>0.39040000000000002</c:v>
                </c:pt>
                <c:pt idx="37">
                  <c:v>0.32090000000000002</c:v>
                </c:pt>
                <c:pt idx="38">
                  <c:v>0.47889999999999999</c:v>
                </c:pt>
                <c:pt idx="39">
                  <c:v>0.30259999999999998</c:v>
                </c:pt>
                <c:pt idx="40">
                  <c:v>0.52129999999999999</c:v>
                </c:pt>
                <c:pt idx="41">
                  <c:v>0.4274</c:v>
                </c:pt>
                <c:pt idx="42">
                  <c:v>0.41149999999999998</c:v>
                </c:pt>
                <c:pt idx="43">
                  <c:v>0.33629999999999999</c:v>
                </c:pt>
                <c:pt idx="44">
                  <c:v>0.42399999999999999</c:v>
                </c:pt>
                <c:pt idx="45">
                  <c:v>0.42609999999999998</c:v>
                </c:pt>
                <c:pt idx="46">
                  <c:v>0.56759999999999999</c:v>
                </c:pt>
                <c:pt idx="47">
                  <c:v>0.66720000000000002</c:v>
                </c:pt>
                <c:pt idx="48">
                  <c:v>0.40310000000000001</c:v>
                </c:pt>
                <c:pt idx="49">
                  <c:v>0.55800000000000005</c:v>
                </c:pt>
                <c:pt idx="50">
                  <c:v>0.35049999999999998</c:v>
                </c:pt>
                <c:pt idx="51">
                  <c:v>0.35580000000000001</c:v>
                </c:pt>
                <c:pt idx="52">
                  <c:v>0.42680000000000001</c:v>
                </c:pt>
                <c:pt idx="53">
                  <c:v>0.40460000000000002</c:v>
                </c:pt>
                <c:pt idx="54">
                  <c:v>0.31409999999999999</c:v>
                </c:pt>
                <c:pt idx="55">
                  <c:v>0.48010000000000003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4-CA47-88A8-50EC3D248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004752"/>
        <c:axId val="1424609936"/>
      </c:scatterChart>
      <c:valAx>
        <c:axId val="142500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09936"/>
        <c:crosses val="autoZero"/>
        <c:crossBetween val="midCat"/>
      </c:valAx>
      <c:valAx>
        <c:axId val="14246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0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Sussex County Single Parent vs Poverty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56496062992129"/>
                  <c:y val="-0.2165029892096821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'Sussex County'!$H$2:$H$57</c:f>
              <c:numCache>
                <c:formatCode>General</c:formatCode>
                <c:ptCount val="56"/>
                <c:pt idx="0">
                  <c:v>0</c:v>
                </c:pt>
                <c:pt idx="1">
                  <c:v>0.90910000000000002</c:v>
                </c:pt>
                <c:pt idx="2">
                  <c:v>0.16669999999999999</c:v>
                </c:pt>
                <c:pt idx="3">
                  <c:v>0.37059999999999998</c:v>
                </c:pt>
                <c:pt idx="4">
                  <c:v>0.10059999999999999</c:v>
                </c:pt>
                <c:pt idx="5">
                  <c:v>9.3200000000000005E-2</c:v>
                </c:pt>
                <c:pt idx="6">
                  <c:v>0.32119999999999999</c:v>
                </c:pt>
                <c:pt idx="7">
                  <c:v>0.23780000000000001</c:v>
                </c:pt>
                <c:pt idx="8">
                  <c:v>0.1429</c:v>
                </c:pt>
                <c:pt idx="9">
                  <c:v>0.40889999999999999</c:v>
                </c:pt>
                <c:pt idx="10">
                  <c:v>0.14710000000000001</c:v>
                </c:pt>
                <c:pt idx="11">
                  <c:v>0.55969999999999998</c:v>
                </c:pt>
                <c:pt idx="12">
                  <c:v>0.36880000000000002</c:v>
                </c:pt>
                <c:pt idx="13">
                  <c:v>0.58250000000000002</c:v>
                </c:pt>
                <c:pt idx="14">
                  <c:v>0.24729999999999999</c:v>
                </c:pt>
                <c:pt idx="15">
                  <c:v>0.34129999999999999</c:v>
                </c:pt>
                <c:pt idx="16">
                  <c:v>0.54810000000000003</c:v>
                </c:pt>
                <c:pt idx="17">
                  <c:v>0.57889999999999997</c:v>
                </c:pt>
                <c:pt idx="18">
                  <c:v>0.17530000000000001</c:v>
                </c:pt>
                <c:pt idx="19">
                  <c:v>0.39150000000000001</c:v>
                </c:pt>
                <c:pt idx="20">
                  <c:v>0.2432</c:v>
                </c:pt>
                <c:pt idx="21">
                  <c:v>0.46879999999999999</c:v>
                </c:pt>
                <c:pt idx="22">
                  <c:v>0.17899999999999999</c:v>
                </c:pt>
                <c:pt idx="23">
                  <c:v>0.15970000000000001</c:v>
                </c:pt>
                <c:pt idx="24">
                  <c:v>0.14019999999999999</c:v>
                </c:pt>
                <c:pt idx="25">
                  <c:v>0.1515</c:v>
                </c:pt>
                <c:pt idx="26">
                  <c:v>0.28649999999999998</c:v>
                </c:pt>
                <c:pt idx="27">
                  <c:v>0.25719999999999998</c:v>
                </c:pt>
                <c:pt idx="28">
                  <c:v>0.18329999999999999</c:v>
                </c:pt>
                <c:pt idx="29">
                  <c:v>0.47060000000000002</c:v>
                </c:pt>
                <c:pt idx="30">
                  <c:v>0.53910000000000002</c:v>
                </c:pt>
                <c:pt idx="31">
                  <c:v>0.40389999999999998</c:v>
                </c:pt>
                <c:pt idx="32">
                  <c:v>0.35639999999999999</c:v>
                </c:pt>
                <c:pt idx="33">
                  <c:v>0.3125</c:v>
                </c:pt>
                <c:pt idx="34">
                  <c:v>0.33729999999999999</c:v>
                </c:pt>
                <c:pt idx="35">
                  <c:v>0.32369999999999999</c:v>
                </c:pt>
                <c:pt idx="36">
                  <c:v>0.39040000000000002</c:v>
                </c:pt>
                <c:pt idx="37">
                  <c:v>0.32090000000000002</c:v>
                </c:pt>
                <c:pt idx="38">
                  <c:v>0.47889999999999999</c:v>
                </c:pt>
                <c:pt idx="39">
                  <c:v>0.30259999999999998</c:v>
                </c:pt>
                <c:pt idx="40">
                  <c:v>0.52129999999999999</c:v>
                </c:pt>
                <c:pt idx="41">
                  <c:v>0.4274</c:v>
                </c:pt>
                <c:pt idx="42">
                  <c:v>0.41149999999999998</c:v>
                </c:pt>
                <c:pt idx="43">
                  <c:v>0.33629999999999999</c:v>
                </c:pt>
                <c:pt idx="44">
                  <c:v>0.42399999999999999</c:v>
                </c:pt>
                <c:pt idx="45">
                  <c:v>0.42609999999999998</c:v>
                </c:pt>
                <c:pt idx="46">
                  <c:v>0.56759999999999999</c:v>
                </c:pt>
                <c:pt idx="47">
                  <c:v>0.66720000000000002</c:v>
                </c:pt>
                <c:pt idx="48">
                  <c:v>0.40310000000000001</c:v>
                </c:pt>
                <c:pt idx="49">
                  <c:v>0.55800000000000005</c:v>
                </c:pt>
                <c:pt idx="50">
                  <c:v>0.35049999999999998</c:v>
                </c:pt>
                <c:pt idx="51">
                  <c:v>0.35580000000000001</c:v>
                </c:pt>
                <c:pt idx="52">
                  <c:v>0.42680000000000001</c:v>
                </c:pt>
                <c:pt idx="53">
                  <c:v>0.40460000000000002</c:v>
                </c:pt>
                <c:pt idx="54">
                  <c:v>0.31409999999999999</c:v>
                </c:pt>
                <c:pt idx="55">
                  <c:v>0.48010000000000003</c:v>
                </c:pt>
              </c:numCache>
            </c:numRef>
          </c:xVal>
          <c:yVal>
            <c:numRef>
              <c:f>'Sussex County'!$D$2:$D$57</c:f>
              <c:numCache>
                <c:formatCode>General</c:formatCode>
                <c:ptCount val="56"/>
                <c:pt idx="0">
                  <c:v>3.73E-2</c:v>
                </c:pt>
                <c:pt idx="1">
                  <c:v>4.9399999999999999E-2</c:v>
                </c:pt>
                <c:pt idx="2">
                  <c:v>7.8600000000000003E-2</c:v>
                </c:pt>
                <c:pt idx="3">
                  <c:v>9.3299999999999994E-2</c:v>
                </c:pt>
                <c:pt idx="4">
                  <c:v>5.4600000000000003E-2</c:v>
                </c:pt>
                <c:pt idx="5">
                  <c:v>7.1199999999999999E-2</c:v>
                </c:pt>
                <c:pt idx="6">
                  <c:v>9.9900000000000003E-2</c:v>
                </c:pt>
                <c:pt idx="7">
                  <c:v>5.2600000000000001E-2</c:v>
                </c:pt>
                <c:pt idx="8">
                  <c:v>6.7699999999999996E-2</c:v>
                </c:pt>
                <c:pt idx="9">
                  <c:v>4.9000000000000002E-2</c:v>
                </c:pt>
                <c:pt idx="10">
                  <c:v>8.5699999999999998E-2</c:v>
                </c:pt>
                <c:pt idx="11">
                  <c:v>8.9099999999999999E-2</c:v>
                </c:pt>
                <c:pt idx="12">
                  <c:v>0.1028</c:v>
                </c:pt>
                <c:pt idx="13">
                  <c:v>6.0499999999999998E-2</c:v>
                </c:pt>
                <c:pt idx="14">
                  <c:v>6.83E-2</c:v>
                </c:pt>
                <c:pt idx="15">
                  <c:v>0.14069999999999999</c:v>
                </c:pt>
                <c:pt idx="16">
                  <c:v>4.7100000000000003E-2</c:v>
                </c:pt>
                <c:pt idx="17">
                  <c:v>8.8800000000000004E-2</c:v>
                </c:pt>
                <c:pt idx="18">
                  <c:v>0.1048</c:v>
                </c:pt>
                <c:pt idx="19">
                  <c:v>0.114</c:v>
                </c:pt>
                <c:pt idx="20">
                  <c:v>9.4899999999999998E-2</c:v>
                </c:pt>
                <c:pt idx="21">
                  <c:v>0.17810000000000001</c:v>
                </c:pt>
                <c:pt idx="22">
                  <c:v>6.6299999999999998E-2</c:v>
                </c:pt>
                <c:pt idx="23">
                  <c:v>7.0000000000000007E-2</c:v>
                </c:pt>
                <c:pt idx="24">
                  <c:v>8.9200000000000002E-2</c:v>
                </c:pt>
                <c:pt idx="25">
                  <c:v>9.1999999999999998E-2</c:v>
                </c:pt>
                <c:pt idx="26">
                  <c:v>6.6600000000000006E-2</c:v>
                </c:pt>
                <c:pt idx="27">
                  <c:v>0.12870000000000001</c:v>
                </c:pt>
                <c:pt idx="28">
                  <c:v>7.7100000000000002E-2</c:v>
                </c:pt>
                <c:pt idx="29">
                  <c:v>0.1472</c:v>
                </c:pt>
                <c:pt idx="30">
                  <c:v>0.1396</c:v>
                </c:pt>
                <c:pt idx="31">
                  <c:v>8.6699999999999999E-2</c:v>
                </c:pt>
                <c:pt idx="32">
                  <c:v>0.12540000000000001</c:v>
                </c:pt>
                <c:pt idx="33">
                  <c:v>4.8000000000000001E-2</c:v>
                </c:pt>
                <c:pt idx="34">
                  <c:v>0.17810000000000001</c:v>
                </c:pt>
                <c:pt idx="35">
                  <c:v>0.15479999999999999</c:v>
                </c:pt>
                <c:pt idx="36">
                  <c:v>0.1129</c:v>
                </c:pt>
                <c:pt idx="37">
                  <c:v>0.24060000000000001</c:v>
                </c:pt>
                <c:pt idx="38">
                  <c:v>0.1109</c:v>
                </c:pt>
                <c:pt idx="39">
                  <c:v>0.20300000000000001</c:v>
                </c:pt>
                <c:pt idx="40">
                  <c:v>9.6000000000000002E-2</c:v>
                </c:pt>
                <c:pt idx="41">
                  <c:v>0.2208</c:v>
                </c:pt>
                <c:pt idx="42">
                  <c:v>0.22189999999999999</c:v>
                </c:pt>
                <c:pt idx="43">
                  <c:v>0.18129999999999999</c:v>
                </c:pt>
                <c:pt idx="44">
                  <c:v>0.1338</c:v>
                </c:pt>
                <c:pt idx="45">
                  <c:v>9.4600000000000004E-2</c:v>
                </c:pt>
                <c:pt idx="46">
                  <c:v>0.26419999999999999</c:v>
                </c:pt>
                <c:pt idx="47">
                  <c:v>0.16650000000000001</c:v>
                </c:pt>
                <c:pt idx="48">
                  <c:v>0.1585</c:v>
                </c:pt>
                <c:pt idx="49">
                  <c:v>0.20549999999999999</c:v>
                </c:pt>
                <c:pt idx="50">
                  <c:v>5.4899999999999997E-2</c:v>
                </c:pt>
                <c:pt idx="51">
                  <c:v>0.17050000000000001</c:v>
                </c:pt>
                <c:pt idx="52">
                  <c:v>0.1409</c:v>
                </c:pt>
                <c:pt idx="53">
                  <c:v>0.29580000000000001</c:v>
                </c:pt>
                <c:pt idx="54">
                  <c:v>0.1585</c:v>
                </c:pt>
                <c:pt idx="55">
                  <c:v>0.24249999999999999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94-8745-9C30-1F7ABB2DC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004752"/>
        <c:axId val="1424609936"/>
      </c:scatterChart>
      <c:valAx>
        <c:axId val="142500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09936"/>
        <c:crosses val="autoZero"/>
        <c:crossBetween val="midCat"/>
      </c:valAx>
      <c:valAx>
        <c:axId val="14246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0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chart" Target="../charts/chart4.xml"/><Relationship Id="rId1" Type="http://purl.oclc.org/ooxml/officeDocument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purl.oclc.org/ooxml/officeDocument/relationships/chart" Target="../charts/chart6.xml"/><Relationship Id="rId1" Type="http://purl.oclc.org/ooxml/officeDocument/relationships/chart" Target="../charts/chart5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13</xdr:col>
      <xdr:colOff>190500</xdr:colOff>
      <xdr:row>0</xdr:row>
      <xdr:rowOff>184150</xdr:rowOff>
    </xdr:from>
    <xdr:to>
      <xdr:col>18</xdr:col>
      <xdr:colOff>635000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8E2B9-11D5-4B41-8B42-00296C897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13</xdr:col>
      <xdr:colOff>177800</xdr:colOff>
      <xdr:row>15</xdr:row>
      <xdr:rowOff>50800</xdr:rowOff>
    </xdr:from>
    <xdr:to>
      <xdr:col>18</xdr:col>
      <xdr:colOff>622300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FA9EF-F35C-0A47-B263-7804BED86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279400</xdr:colOff>
      <xdr:row>0</xdr:row>
      <xdr:rowOff>152400</xdr:rowOff>
    </xdr:from>
    <xdr:to>
      <xdr:col>13</xdr:col>
      <xdr:colOff>723900</xdr:colOff>
      <xdr:row>14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8B231-F74E-814A-A9FB-91A128C0D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279400</xdr:colOff>
      <xdr:row>15</xdr:row>
      <xdr:rowOff>0</xdr:rowOff>
    </xdr:from>
    <xdr:to>
      <xdr:col>13</xdr:col>
      <xdr:colOff>723900</xdr:colOff>
      <xdr:row>28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03F421-1001-D647-A3CB-82C460129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8</xdr:col>
      <xdr:colOff>57150</xdr:colOff>
      <xdr:row>0</xdr:row>
      <xdr:rowOff>184150</xdr:rowOff>
    </xdr:from>
    <xdr:to>
      <xdr:col>13</xdr:col>
      <xdr:colOff>501650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0FCAD-431B-D74E-BC59-54409EE76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13</xdr:col>
      <xdr:colOff>444500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8FDA3-9F41-E041-A961-8FE50F604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shown_tract_teenbirth_rP_gF_pall%20(1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shown_tract_married_rP_gF_pall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purl.oclc.org/ooxml/officeDocument/relationships/externalLinkPath" Target="shown_tract_median_rent2016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purl.oclc.org/ooxml/officeDocument/relationships/externalLinkPath" Target="shown_tract_poor_share2016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purl.oclc.org/ooxml/officeDocument/relationships/externalLinkPath" Target="shown_tract_singleparent_share2016.csv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own_tract_teenbirth_rP_gF_pal"/>
    </sheetNames>
    <sheetDataSet>
      <sheetData sheetId="0" refreshError="1">
        <row r="2">
          <cell r="A2">
            <v>24510280500</v>
          </cell>
          <cell r="B2" t="str">
            <v>Pleasant View Gardens, Baltimore, MD</v>
          </cell>
          <cell r="C2">
            <v>0.65959999999999996</v>
          </cell>
        </row>
        <row r="3">
          <cell r="A3">
            <v>24510250204</v>
          </cell>
          <cell r="B3" t="str">
            <v>Cherry Hill, Baltimore, MD</v>
          </cell>
          <cell r="C3">
            <v>0.65610000000000002</v>
          </cell>
        </row>
        <row r="4">
          <cell r="A4">
            <v>24510100200</v>
          </cell>
          <cell r="B4" t="str">
            <v>Baltimore, MD</v>
          </cell>
          <cell r="C4">
            <v>0.62790000000000001</v>
          </cell>
        </row>
        <row r="5">
          <cell r="A5">
            <v>24510120400</v>
          </cell>
          <cell r="B5" t="str">
            <v>Barclay, Baltimore, MD</v>
          </cell>
          <cell r="C5">
            <v>0.62729999999999997</v>
          </cell>
        </row>
        <row r="6">
          <cell r="A6">
            <v>24510200100</v>
          </cell>
          <cell r="B6" t="str">
            <v>Lexington, Baltimore, MD</v>
          </cell>
          <cell r="C6">
            <v>0.60780000000000001</v>
          </cell>
        </row>
        <row r="7">
          <cell r="A7">
            <v>24510170200</v>
          </cell>
          <cell r="B7" t="str">
            <v>McCulloh Homes, Baltimore, MD</v>
          </cell>
          <cell r="C7">
            <v>0.60740000000000005</v>
          </cell>
        </row>
        <row r="8">
          <cell r="A8">
            <v>24510080200</v>
          </cell>
          <cell r="B8" t="str">
            <v>Broadway East, Baltimore, MD</v>
          </cell>
          <cell r="C8">
            <v>0.60189999999999999</v>
          </cell>
        </row>
        <row r="9">
          <cell r="A9">
            <v>24510200400</v>
          </cell>
          <cell r="B9" t="str">
            <v>Shipley Hill, Baltimore, MD</v>
          </cell>
          <cell r="C9">
            <v>0.59809999999999997</v>
          </cell>
        </row>
        <row r="10">
          <cell r="A10">
            <v>24510090900</v>
          </cell>
          <cell r="B10" t="str">
            <v>Oliver, Baltimore, MD</v>
          </cell>
          <cell r="C10">
            <v>0.59709999999999996</v>
          </cell>
        </row>
        <row r="11">
          <cell r="A11">
            <v>24510271802</v>
          </cell>
          <cell r="B11" t="str">
            <v>Langston Hughes, Baltimore, MD</v>
          </cell>
          <cell r="C11">
            <v>0.59660000000000002</v>
          </cell>
        </row>
        <row r="12">
          <cell r="A12">
            <v>24510080800</v>
          </cell>
          <cell r="B12" t="str">
            <v>Broadway East, Baltimore, MD</v>
          </cell>
          <cell r="C12">
            <v>0.58779999999999999</v>
          </cell>
        </row>
        <row r="13">
          <cell r="A13">
            <v>24510170300</v>
          </cell>
          <cell r="B13" t="str">
            <v>Upton, Baltimore, MD</v>
          </cell>
          <cell r="C13">
            <v>0.58660000000000001</v>
          </cell>
        </row>
        <row r="14">
          <cell r="A14">
            <v>24510060300</v>
          </cell>
          <cell r="B14" t="str">
            <v>Butchers Hill, Baltimore, MD</v>
          </cell>
          <cell r="C14">
            <v>0.5857</v>
          </cell>
        </row>
        <row r="15">
          <cell r="A15">
            <v>24510080600</v>
          </cell>
          <cell r="B15" t="str">
            <v>Broadway East, Baltimore, MD</v>
          </cell>
          <cell r="C15">
            <v>0.57669999999999999</v>
          </cell>
        </row>
        <row r="16">
          <cell r="A16">
            <v>24510090700</v>
          </cell>
          <cell r="B16" t="str">
            <v>Coldstream - Homestead - Montebello, Baltimore, MD</v>
          </cell>
          <cell r="C16">
            <v>0.57530000000000003</v>
          </cell>
        </row>
        <row r="17">
          <cell r="A17">
            <v>24510030100</v>
          </cell>
          <cell r="B17" t="str">
            <v>Perkins Homes, Baltimore, MD</v>
          </cell>
          <cell r="C17">
            <v>0.57430000000000003</v>
          </cell>
        </row>
        <row r="18">
          <cell r="A18">
            <v>24510160300</v>
          </cell>
          <cell r="B18" t="str">
            <v>Sandtown-Winchester, Baltimore, MD</v>
          </cell>
          <cell r="C18">
            <v>0.56930000000000003</v>
          </cell>
        </row>
        <row r="19">
          <cell r="A19">
            <v>24510160600</v>
          </cell>
          <cell r="B19" t="str">
            <v>Mosher, Baltimore, MD</v>
          </cell>
          <cell r="C19">
            <v>0.56540000000000001</v>
          </cell>
        </row>
        <row r="20">
          <cell r="A20">
            <v>24510070400</v>
          </cell>
          <cell r="B20" t="str">
            <v>Gay Street, Baltimore, MD</v>
          </cell>
          <cell r="C20">
            <v>0.56440000000000001</v>
          </cell>
        </row>
        <row r="21">
          <cell r="A21">
            <v>24510080700</v>
          </cell>
          <cell r="B21" t="str">
            <v>Broadway East, Baltimore, MD</v>
          </cell>
          <cell r="C21">
            <v>0.56299999999999994</v>
          </cell>
        </row>
        <row r="22">
          <cell r="A22">
            <v>24510200300</v>
          </cell>
          <cell r="B22" t="str">
            <v>Bentalou-Smallwood, Baltimore, MD</v>
          </cell>
          <cell r="C22">
            <v>0.55979999999999996</v>
          </cell>
        </row>
        <row r="23">
          <cell r="A23">
            <v>24510150200</v>
          </cell>
          <cell r="B23" t="str">
            <v>Sandtown-Winchester, Baltimore, MD</v>
          </cell>
          <cell r="C23">
            <v>0.55710000000000004</v>
          </cell>
        </row>
        <row r="24">
          <cell r="A24">
            <v>24510090400</v>
          </cell>
          <cell r="B24" t="str">
            <v>Better Waverly, Baltimore, MD</v>
          </cell>
          <cell r="C24">
            <v>0.55549999999999999</v>
          </cell>
        </row>
        <row r="25">
          <cell r="A25">
            <v>24510080500</v>
          </cell>
          <cell r="B25" t="str">
            <v>Darley Park, Baltimore, MD</v>
          </cell>
          <cell r="C25">
            <v>0.55479999999999996</v>
          </cell>
        </row>
        <row r="26">
          <cell r="A26">
            <v>24510080102</v>
          </cell>
          <cell r="B26" t="str">
            <v>Belair - Edison, Baltimore, MD</v>
          </cell>
          <cell r="C26">
            <v>0.55479999999999996</v>
          </cell>
        </row>
        <row r="27">
          <cell r="A27">
            <v>24510070200</v>
          </cell>
          <cell r="B27" t="str">
            <v>Madison - Eastend, Baltimore, MD</v>
          </cell>
          <cell r="C27">
            <v>0.55449999999999999</v>
          </cell>
        </row>
        <row r="28">
          <cell r="A28">
            <v>24510130300</v>
          </cell>
          <cell r="B28" t="str">
            <v>Penn North, Baltimore, MD</v>
          </cell>
          <cell r="C28">
            <v>0.55400000000000005</v>
          </cell>
        </row>
        <row r="29">
          <cell r="A29">
            <v>24510090800</v>
          </cell>
          <cell r="B29" t="str">
            <v>East Baltimore Midway, Baltimore, MD</v>
          </cell>
          <cell r="C29">
            <v>0.55169999999999997</v>
          </cell>
        </row>
        <row r="30">
          <cell r="A30">
            <v>24510160100</v>
          </cell>
          <cell r="B30" t="str">
            <v>Harlem Park, Baltimore, MD</v>
          </cell>
          <cell r="C30">
            <v>0.55120000000000002</v>
          </cell>
        </row>
        <row r="31">
          <cell r="A31">
            <v>24510150100</v>
          </cell>
          <cell r="B31" t="str">
            <v>Sandtown-Winchester, Baltimore, MD</v>
          </cell>
          <cell r="C31">
            <v>0.55110000000000003</v>
          </cell>
        </row>
        <row r="32">
          <cell r="A32">
            <v>24510120500</v>
          </cell>
          <cell r="B32" t="str">
            <v>Greenmount West, Baltimore, MD</v>
          </cell>
          <cell r="C32">
            <v>0.54959999999999998</v>
          </cell>
        </row>
        <row r="33">
          <cell r="A33">
            <v>24510070300</v>
          </cell>
          <cell r="B33" t="str">
            <v>Milton - Montford, Baltimore, MD</v>
          </cell>
          <cell r="C33">
            <v>0.54910000000000003</v>
          </cell>
        </row>
        <row r="34">
          <cell r="A34">
            <v>24510080302</v>
          </cell>
          <cell r="B34" t="str">
            <v>Berea, Baltimore, MD</v>
          </cell>
          <cell r="C34">
            <v>0.54790000000000005</v>
          </cell>
        </row>
        <row r="35">
          <cell r="A35">
            <v>24510160400</v>
          </cell>
          <cell r="B35" t="str">
            <v>Midtown Edmondson, Baltimore, MD</v>
          </cell>
          <cell r="C35">
            <v>0.5444</v>
          </cell>
        </row>
        <row r="36">
          <cell r="A36">
            <v>24510100100</v>
          </cell>
          <cell r="B36" t="str">
            <v>Johnson Square, Baltimore, MD</v>
          </cell>
          <cell r="C36">
            <v>0.54400000000000004</v>
          </cell>
        </row>
        <row r="37">
          <cell r="A37">
            <v>24510150500</v>
          </cell>
          <cell r="B37" t="str">
            <v>Burleith-Leighton, Baltimore, MD</v>
          </cell>
          <cell r="C37">
            <v>0.5413</v>
          </cell>
        </row>
        <row r="38">
          <cell r="A38">
            <v>24510080400</v>
          </cell>
          <cell r="B38" t="str">
            <v>Broadway East, Baltimore, MD</v>
          </cell>
          <cell r="C38">
            <v>0.53949999999999998</v>
          </cell>
        </row>
        <row r="39">
          <cell r="A39">
            <v>24510140200</v>
          </cell>
          <cell r="B39" t="str">
            <v>Upton, Baltimore, MD</v>
          </cell>
          <cell r="C39">
            <v>0.5393</v>
          </cell>
        </row>
        <row r="40">
          <cell r="A40">
            <v>24510190100</v>
          </cell>
          <cell r="B40" t="str">
            <v>Franklin Square, Baltimore, MD</v>
          </cell>
          <cell r="C40">
            <v>0.53610000000000002</v>
          </cell>
        </row>
        <row r="41">
          <cell r="A41">
            <v>24510271001</v>
          </cell>
          <cell r="B41" t="str">
            <v>Baltimore, MD</v>
          </cell>
          <cell r="C41">
            <v>0.53269999999999995</v>
          </cell>
        </row>
        <row r="42">
          <cell r="A42">
            <v>24510120300</v>
          </cell>
          <cell r="B42" t="str">
            <v>Harwood, Baltimore, MD</v>
          </cell>
          <cell r="C42">
            <v>0.53239999999999998</v>
          </cell>
        </row>
        <row r="43">
          <cell r="A43">
            <v>24510080301</v>
          </cell>
          <cell r="B43" t="str">
            <v>Berea, Baltimore, MD</v>
          </cell>
          <cell r="C43">
            <v>0.5323</v>
          </cell>
        </row>
        <row r="44">
          <cell r="A44">
            <v>24510151300</v>
          </cell>
          <cell r="B44" t="str">
            <v>Central Park Heights, Baltimore, MD</v>
          </cell>
          <cell r="C44">
            <v>0.52869999999999995</v>
          </cell>
        </row>
        <row r="45">
          <cell r="A45">
            <v>24510250301</v>
          </cell>
          <cell r="B45" t="str">
            <v>Westport, Baltimore, MD</v>
          </cell>
          <cell r="C45">
            <v>0.52680000000000005</v>
          </cell>
        </row>
        <row r="46">
          <cell r="A46">
            <v>24510260403</v>
          </cell>
          <cell r="B46" t="str">
            <v>Cedonia, Baltimore, MD</v>
          </cell>
          <cell r="C46">
            <v>0.52529999999999999</v>
          </cell>
        </row>
        <row r="47">
          <cell r="A47">
            <v>24510260402</v>
          </cell>
          <cell r="B47" t="str">
            <v>Frankford, Baltimore, MD</v>
          </cell>
          <cell r="C47">
            <v>0.52180000000000004</v>
          </cell>
        </row>
        <row r="48">
          <cell r="A48">
            <v>24510150600</v>
          </cell>
          <cell r="B48" t="str">
            <v>NW Community Action, Baltimore, MD</v>
          </cell>
          <cell r="C48">
            <v>0.52129999999999999</v>
          </cell>
        </row>
        <row r="49">
          <cell r="A49">
            <v>24510140300</v>
          </cell>
          <cell r="B49" t="str">
            <v>Druid Heights, Baltimore, MD</v>
          </cell>
          <cell r="C49">
            <v>0.51859999999999995</v>
          </cell>
        </row>
        <row r="50">
          <cell r="A50">
            <v>24510120600</v>
          </cell>
          <cell r="B50" t="str">
            <v>Old Goucher, Baltimore, MD</v>
          </cell>
          <cell r="C50">
            <v>0.51729999999999998</v>
          </cell>
        </row>
        <row r="51">
          <cell r="A51">
            <v>24510160200</v>
          </cell>
          <cell r="B51" t="str">
            <v>Sandtown-Winchester, Baltimore, MD</v>
          </cell>
          <cell r="C51">
            <v>0.51690000000000003</v>
          </cell>
        </row>
        <row r="52">
          <cell r="A52">
            <v>24510060100</v>
          </cell>
          <cell r="B52" t="str">
            <v>Patterson Park, Baltimore, MD</v>
          </cell>
          <cell r="C52">
            <v>0.51639999999999997</v>
          </cell>
        </row>
        <row r="53">
          <cell r="A53">
            <v>24510250203</v>
          </cell>
          <cell r="B53" t="str">
            <v>Cherry Hill, Baltimore, MD</v>
          </cell>
          <cell r="C53">
            <v>0.51390000000000002</v>
          </cell>
        </row>
        <row r="54">
          <cell r="A54">
            <v>24510060200</v>
          </cell>
          <cell r="B54" t="str">
            <v>Baltimore, MD</v>
          </cell>
          <cell r="C54">
            <v>0.51239999999999997</v>
          </cell>
        </row>
        <row r="55">
          <cell r="A55">
            <v>24510260604</v>
          </cell>
          <cell r="B55" t="str">
            <v>O'Donnell Heights, Baltimore, MD</v>
          </cell>
          <cell r="C55">
            <v>0.5111</v>
          </cell>
        </row>
        <row r="56">
          <cell r="A56">
            <v>24510271801</v>
          </cell>
          <cell r="B56" t="str">
            <v>Arlington, Baltimore, MD</v>
          </cell>
          <cell r="C56">
            <v>0.50460000000000005</v>
          </cell>
        </row>
        <row r="57">
          <cell r="A57">
            <v>24510150400</v>
          </cell>
          <cell r="B57" t="str">
            <v>Mondawmin, Baltimore, MD</v>
          </cell>
          <cell r="C57">
            <v>0.50429999999999997</v>
          </cell>
        </row>
        <row r="58">
          <cell r="A58">
            <v>24510250207</v>
          </cell>
          <cell r="B58" t="str">
            <v>Cherry Hill, Baltimore, MD</v>
          </cell>
          <cell r="C58">
            <v>0.504</v>
          </cell>
        </row>
        <row r="59">
          <cell r="A59">
            <v>24510271600</v>
          </cell>
          <cell r="B59" t="str">
            <v>Edgecomb, Baltimore, MD</v>
          </cell>
          <cell r="C59">
            <v>0.50329999999999997</v>
          </cell>
        </row>
        <row r="60">
          <cell r="A60">
            <v>24510130100</v>
          </cell>
          <cell r="B60" t="str">
            <v>Reservoir Hill, Baltimore, MD</v>
          </cell>
          <cell r="C60">
            <v>0.502</v>
          </cell>
        </row>
        <row r="61">
          <cell r="A61">
            <v>24510200200</v>
          </cell>
          <cell r="B61" t="str">
            <v>Lexington, Baltimore, MD</v>
          </cell>
          <cell r="C61">
            <v>0.50070000000000003</v>
          </cell>
        </row>
        <row r="62">
          <cell r="A62">
            <v>24510090500</v>
          </cell>
          <cell r="B62" t="str">
            <v>Better Waverly, Baltimore, MD</v>
          </cell>
          <cell r="C62">
            <v>0.50049999999999994</v>
          </cell>
        </row>
        <row r="63">
          <cell r="A63">
            <v>24510150800</v>
          </cell>
          <cell r="B63" t="str">
            <v>Garwyn Oaks, Baltimore, MD</v>
          </cell>
          <cell r="C63">
            <v>0.49559999999999998</v>
          </cell>
        </row>
        <row r="64">
          <cell r="A64">
            <v>24510210200</v>
          </cell>
          <cell r="B64" t="str">
            <v>Pigtown, Baltimore, MD</v>
          </cell>
          <cell r="C64">
            <v>0.49469999999999997</v>
          </cell>
        </row>
        <row r="65">
          <cell r="A65">
            <v>24510060400</v>
          </cell>
          <cell r="B65" t="str">
            <v>Baltimore, MD</v>
          </cell>
          <cell r="C65">
            <v>0.49109999999999998</v>
          </cell>
        </row>
        <row r="66">
          <cell r="A66">
            <v>24510150300</v>
          </cell>
          <cell r="B66" t="str">
            <v>Coppin Heights, Baltimore, MD</v>
          </cell>
          <cell r="C66">
            <v>0.49099999999999999</v>
          </cell>
        </row>
        <row r="67">
          <cell r="A67">
            <v>24510200702</v>
          </cell>
          <cell r="B67" t="str">
            <v>Saint Joseph's, Baltimore, MD</v>
          </cell>
          <cell r="C67">
            <v>0.48780000000000001</v>
          </cell>
        </row>
        <row r="68">
          <cell r="A68">
            <v>24510040200</v>
          </cell>
          <cell r="B68" t="str">
            <v>Downtown, Baltimore, MD</v>
          </cell>
          <cell r="C68">
            <v>0.4869</v>
          </cell>
        </row>
        <row r="69">
          <cell r="A69">
            <v>24510130200</v>
          </cell>
          <cell r="B69" t="str">
            <v>Reservoir Hill, Baltimore, MD</v>
          </cell>
          <cell r="C69">
            <v>0.48559999999999998</v>
          </cell>
        </row>
        <row r="70">
          <cell r="A70">
            <v>24510200800</v>
          </cell>
          <cell r="B70" t="str">
            <v>Irvington, Baltimore, MD</v>
          </cell>
          <cell r="C70">
            <v>0.48020000000000002</v>
          </cell>
        </row>
        <row r="71">
          <cell r="A71">
            <v>24510271002</v>
          </cell>
          <cell r="B71" t="str">
            <v>Winston - Govans, Baltimore, MD</v>
          </cell>
          <cell r="C71">
            <v>0.48</v>
          </cell>
        </row>
        <row r="72">
          <cell r="A72">
            <v>24510160802</v>
          </cell>
          <cell r="B72" t="str">
            <v>Edmondson, Baltimore, MD</v>
          </cell>
          <cell r="C72">
            <v>0.47939999999999999</v>
          </cell>
        </row>
        <row r="73">
          <cell r="A73">
            <v>24510090600</v>
          </cell>
          <cell r="B73" t="str">
            <v>Coldstream - Homestead - Montebello, Baltimore, MD</v>
          </cell>
          <cell r="C73">
            <v>0.47820000000000001</v>
          </cell>
        </row>
        <row r="74">
          <cell r="A74">
            <v>24510270701</v>
          </cell>
          <cell r="B74" t="str">
            <v>Harford - Echodale - Perring Parkway, Baltimore, MD</v>
          </cell>
          <cell r="C74">
            <v>0.47520000000000001</v>
          </cell>
        </row>
        <row r="75">
          <cell r="A75">
            <v>24510200701</v>
          </cell>
          <cell r="B75" t="str">
            <v>Allendale, Baltimore, MD</v>
          </cell>
          <cell r="C75">
            <v>0.47370000000000001</v>
          </cell>
        </row>
        <row r="76">
          <cell r="A76">
            <v>24510030200</v>
          </cell>
          <cell r="B76" t="str">
            <v>Little Italy, Baltimore, MD</v>
          </cell>
          <cell r="C76">
            <v>0.4733</v>
          </cell>
        </row>
        <row r="77">
          <cell r="A77">
            <v>24510160801</v>
          </cell>
          <cell r="B77" t="str">
            <v>Edmondson, Baltimore, MD</v>
          </cell>
          <cell r="C77">
            <v>0.46870000000000001</v>
          </cell>
        </row>
        <row r="78">
          <cell r="A78">
            <v>24510130400</v>
          </cell>
          <cell r="B78" t="str">
            <v>Woodbrook, Baltimore, MD</v>
          </cell>
          <cell r="C78">
            <v>0.46860000000000002</v>
          </cell>
        </row>
        <row r="79">
          <cell r="A79">
            <v>24510260303</v>
          </cell>
          <cell r="B79" t="str">
            <v>Claremont - Freedom, Baltimore, MD</v>
          </cell>
          <cell r="C79">
            <v>0.46810000000000002</v>
          </cell>
        </row>
        <row r="80">
          <cell r="A80">
            <v>24510070100</v>
          </cell>
          <cell r="B80" t="str">
            <v>Baltimore, MD</v>
          </cell>
          <cell r="C80">
            <v>0.4677</v>
          </cell>
        </row>
        <row r="81">
          <cell r="A81">
            <v>24510280301</v>
          </cell>
          <cell r="B81" t="str">
            <v>Gwynn Oak, Baltimore, MD</v>
          </cell>
          <cell r="C81">
            <v>0.46639999999999998</v>
          </cell>
        </row>
        <row r="82">
          <cell r="A82">
            <v>24510190300</v>
          </cell>
          <cell r="B82" t="str">
            <v>Mount Clare, Baltimore, MD</v>
          </cell>
          <cell r="C82">
            <v>0.4642</v>
          </cell>
        </row>
        <row r="83">
          <cell r="A83">
            <v>24510151200</v>
          </cell>
          <cell r="B83" t="str">
            <v>Park Circle, Baltimore, MD</v>
          </cell>
          <cell r="C83">
            <v>0.46310000000000001</v>
          </cell>
        </row>
        <row r="84">
          <cell r="A84">
            <v>24510180200</v>
          </cell>
          <cell r="B84" t="str">
            <v>Poppleton, Baltimore, MD</v>
          </cell>
          <cell r="C84">
            <v>0.46150000000000002</v>
          </cell>
        </row>
        <row r="85">
          <cell r="A85">
            <v>24510250600</v>
          </cell>
          <cell r="B85" t="str">
            <v>Brooklyn, Baltimore, MD</v>
          </cell>
          <cell r="C85">
            <v>0.4612</v>
          </cell>
        </row>
        <row r="86">
          <cell r="A86">
            <v>24510150702</v>
          </cell>
          <cell r="B86" t="str">
            <v>Walbrook, Baltimore, MD</v>
          </cell>
          <cell r="C86">
            <v>0.4597</v>
          </cell>
        </row>
        <row r="87">
          <cell r="A87">
            <v>24510090100</v>
          </cell>
          <cell r="B87" t="str">
            <v>Ednor Gardens - Lakeside, Baltimore, MD</v>
          </cell>
          <cell r="C87">
            <v>0.45689999999999997</v>
          </cell>
        </row>
        <row r="88">
          <cell r="A88">
            <v>24510110200</v>
          </cell>
          <cell r="B88" t="str">
            <v>Downtown, Baltimore, MD</v>
          </cell>
          <cell r="C88">
            <v>0.45379999999999998</v>
          </cell>
        </row>
        <row r="89">
          <cell r="A89">
            <v>24510160500</v>
          </cell>
          <cell r="B89" t="str">
            <v>Bridgeview-Greenlawn, Baltimore, MD</v>
          </cell>
          <cell r="C89">
            <v>0.45340000000000003</v>
          </cell>
        </row>
        <row r="90">
          <cell r="A90">
            <v>24510280200</v>
          </cell>
          <cell r="B90" t="str">
            <v>Gwynn Oak, Baltimore, MD</v>
          </cell>
          <cell r="C90">
            <v>0.45190000000000002</v>
          </cell>
        </row>
        <row r="91">
          <cell r="A91">
            <v>24510200500</v>
          </cell>
          <cell r="B91" t="str">
            <v>Mill Hill, Baltimore, MD</v>
          </cell>
          <cell r="C91">
            <v>0.4511</v>
          </cell>
        </row>
        <row r="92">
          <cell r="A92">
            <v>24510170100</v>
          </cell>
          <cell r="B92" t="str">
            <v>Downtown, Baltimore, MD</v>
          </cell>
          <cell r="C92">
            <v>0.45090000000000002</v>
          </cell>
        </row>
        <row r="93">
          <cell r="A93">
            <v>24510151000</v>
          </cell>
          <cell r="B93" t="str">
            <v>Dorchester, Baltimore, MD</v>
          </cell>
          <cell r="C93">
            <v>0.44790000000000002</v>
          </cell>
        </row>
        <row r="94">
          <cell r="A94">
            <v>24510271700</v>
          </cell>
          <cell r="B94" t="str">
            <v>Central Park Heights, Baltimore, MD</v>
          </cell>
          <cell r="C94">
            <v>0.44550000000000001</v>
          </cell>
        </row>
        <row r="95">
          <cell r="A95">
            <v>24510180100</v>
          </cell>
          <cell r="B95" t="str">
            <v>Poppleton, Baltimore, MD</v>
          </cell>
          <cell r="C95">
            <v>0.44450000000000001</v>
          </cell>
        </row>
        <row r="96">
          <cell r="A96">
            <v>24510270901</v>
          </cell>
          <cell r="B96" t="str">
            <v>New Northwood, Baltimore, MD</v>
          </cell>
          <cell r="C96">
            <v>0.44019999999999998</v>
          </cell>
        </row>
        <row r="97">
          <cell r="A97">
            <v>24510150701</v>
          </cell>
          <cell r="B97" t="str">
            <v>Hanlon Longwood, Baltimore, MD</v>
          </cell>
          <cell r="C97">
            <v>0.43930000000000002</v>
          </cell>
        </row>
        <row r="98">
          <cell r="A98">
            <v>24510260302</v>
          </cell>
          <cell r="B98" t="str">
            <v>Belair - Edison, Baltimore, MD</v>
          </cell>
          <cell r="C98">
            <v>0.43440000000000001</v>
          </cell>
        </row>
        <row r="99">
          <cell r="A99">
            <v>24510200600</v>
          </cell>
          <cell r="B99" t="str">
            <v>Baltimore, MD</v>
          </cell>
          <cell r="C99">
            <v>0.43409999999999999</v>
          </cell>
        </row>
        <row r="100">
          <cell r="A100">
            <v>24510260202</v>
          </cell>
          <cell r="B100" t="str">
            <v>Parkside, Baltimore, MD</v>
          </cell>
          <cell r="C100">
            <v>0.43230000000000002</v>
          </cell>
        </row>
        <row r="101">
          <cell r="A101">
            <v>24510280404</v>
          </cell>
          <cell r="B101" t="str">
            <v>Irvington, Baltimore, MD</v>
          </cell>
          <cell r="C101">
            <v>0.43099999999999999</v>
          </cell>
        </row>
        <row r="102">
          <cell r="A102">
            <v>24005421300</v>
          </cell>
          <cell r="B102" t="str">
            <v>Dundalk, MD</v>
          </cell>
          <cell r="C102">
            <v>0.43070000000000003</v>
          </cell>
        </row>
        <row r="103">
          <cell r="A103">
            <v>24510210100</v>
          </cell>
          <cell r="B103" t="str">
            <v>Pigtown, Baltimore, MD</v>
          </cell>
          <cell r="C103">
            <v>0.4264</v>
          </cell>
        </row>
        <row r="104">
          <cell r="A104">
            <v>24510180300</v>
          </cell>
          <cell r="B104" t="str">
            <v>Hollins Market, Baltimore, MD</v>
          </cell>
          <cell r="C104">
            <v>0.42609999999999998</v>
          </cell>
        </row>
        <row r="105">
          <cell r="A105">
            <v>24510160700</v>
          </cell>
          <cell r="B105" t="str">
            <v>Rosemont, Baltimore, MD</v>
          </cell>
          <cell r="C105">
            <v>0.42420000000000002</v>
          </cell>
        </row>
        <row r="106">
          <cell r="A106">
            <v>24510120700</v>
          </cell>
          <cell r="B106" t="str">
            <v>Remington, Baltimore, MD</v>
          </cell>
          <cell r="C106">
            <v>0.41930000000000001</v>
          </cell>
        </row>
        <row r="107">
          <cell r="A107">
            <v>24510261000</v>
          </cell>
          <cell r="B107" t="str">
            <v>Patterson Park, Baltimore, MD</v>
          </cell>
          <cell r="C107">
            <v>0.41589999999999999</v>
          </cell>
        </row>
        <row r="108">
          <cell r="A108">
            <v>24510250101</v>
          </cell>
          <cell r="B108" t="str">
            <v>Beechfield, Baltimore, MD</v>
          </cell>
          <cell r="C108">
            <v>0.41420000000000001</v>
          </cell>
        </row>
        <row r="109">
          <cell r="A109">
            <v>24510260404</v>
          </cell>
          <cell r="B109" t="str">
            <v>Baltimore Highlands, Baltimore, MD</v>
          </cell>
          <cell r="C109">
            <v>0.41199999999999998</v>
          </cell>
        </row>
        <row r="110">
          <cell r="A110">
            <v>24510190200</v>
          </cell>
          <cell r="B110" t="str">
            <v>Pratt Monroe, Baltimore, MD</v>
          </cell>
          <cell r="C110">
            <v>0.4118</v>
          </cell>
        </row>
        <row r="111">
          <cell r="A111">
            <v>24510271503</v>
          </cell>
          <cell r="B111" t="str">
            <v>Cross Keys, Baltimore, MD</v>
          </cell>
          <cell r="C111">
            <v>0.41039999999999999</v>
          </cell>
        </row>
        <row r="112">
          <cell r="A112">
            <v>24510150900</v>
          </cell>
          <cell r="B112" t="str">
            <v>Windsor Hills, Baltimore, MD</v>
          </cell>
          <cell r="C112">
            <v>0.40939999999999999</v>
          </cell>
        </row>
        <row r="113">
          <cell r="A113">
            <v>24510250102</v>
          </cell>
          <cell r="B113" t="str">
            <v>Yale Heights, Baltimore, MD</v>
          </cell>
          <cell r="C113">
            <v>0.40870000000000001</v>
          </cell>
        </row>
        <row r="114">
          <cell r="A114">
            <v>24510250402</v>
          </cell>
          <cell r="B114" t="str">
            <v>Brooklyn, Baltimore, MD</v>
          </cell>
          <cell r="C114">
            <v>0.4078</v>
          </cell>
        </row>
        <row r="115">
          <cell r="A115">
            <v>24510260301</v>
          </cell>
          <cell r="B115" t="str">
            <v>Belair - Edison, Baltimore, MD</v>
          </cell>
          <cell r="C115">
            <v>0.40770000000000001</v>
          </cell>
        </row>
        <row r="116">
          <cell r="A116">
            <v>24510280402</v>
          </cell>
          <cell r="B116" t="str">
            <v>Rognel Heights, Baltimore, MD</v>
          </cell>
          <cell r="C116">
            <v>0.40550000000000003</v>
          </cell>
        </row>
        <row r="117">
          <cell r="A117">
            <v>24510260201</v>
          </cell>
          <cell r="B117" t="str">
            <v>Frankford, Baltimore, MD</v>
          </cell>
          <cell r="C117">
            <v>0.39229999999999998</v>
          </cell>
        </row>
        <row r="118">
          <cell r="A118">
            <v>24510270802</v>
          </cell>
          <cell r="B118" t="str">
            <v>Ramblewood, Baltimore, MD</v>
          </cell>
          <cell r="C118">
            <v>0.39050000000000001</v>
          </cell>
        </row>
        <row r="119">
          <cell r="A119">
            <v>24510090200</v>
          </cell>
          <cell r="B119" t="str">
            <v>Ednor Gardens - Lakeside, Baltimore, MD</v>
          </cell>
          <cell r="C119">
            <v>0.3901</v>
          </cell>
        </row>
        <row r="120">
          <cell r="A120">
            <v>24510280101</v>
          </cell>
          <cell r="B120" t="str">
            <v>Reisterstown Station, Baltimore, MD</v>
          </cell>
          <cell r="C120">
            <v>0.38819999999999999</v>
          </cell>
        </row>
        <row r="121">
          <cell r="A121">
            <v>24510080101</v>
          </cell>
          <cell r="B121" t="str">
            <v>Belair - Edison, Baltimore, MD</v>
          </cell>
          <cell r="C121">
            <v>0.38290000000000002</v>
          </cell>
        </row>
        <row r="122">
          <cell r="A122">
            <v>24005491401</v>
          </cell>
          <cell r="B122" t="str">
            <v>Parkville, MD</v>
          </cell>
          <cell r="C122">
            <v>0.38</v>
          </cell>
        </row>
        <row r="123">
          <cell r="A123">
            <v>24510270805</v>
          </cell>
          <cell r="B123" t="str">
            <v>Mid-Govans, Baltimore, MD</v>
          </cell>
          <cell r="C123">
            <v>0.37730000000000002</v>
          </cell>
        </row>
        <row r="124">
          <cell r="A124">
            <v>24005402404</v>
          </cell>
          <cell r="B124" t="str">
            <v>Gwynn Oak, Lochearn, MD</v>
          </cell>
          <cell r="C124">
            <v>0.36980000000000002</v>
          </cell>
        </row>
        <row r="125">
          <cell r="A125">
            <v>24510270803</v>
          </cell>
          <cell r="B125" t="str">
            <v>Loch Raven, Baltimore, MD</v>
          </cell>
          <cell r="C125">
            <v>0.36890000000000001</v>
          </cell>
        </row>
        <row r="126">
          <cell r="A126">
            <v>24510250205</v>
          </cell>
          <cell r="B126" t="str">
            <v>Lakeland, Baltimore, MD</v>
          </cell>
          <cell r="C126">
            <v>0.36259999999999998</v>
          </cell>
        </row>
        <row r="127">
          <cell r="A127">
            <v>24510260800</v>
          </cell>
          <cell r="B127" t="str">
            <v>Baltimore Highlands, Baltimore, MD</v>
          </cell>
          <cell r="C127">
            <v>0.36230000000000001</v>
          </cell>
        </row>
        <row r="128">
          <cell r="A128">
            <v>24510151100</v>
          </cell>
          <cell r="B128" t="str">
            <v>East Arlington, Baltimore, MD</v>
          </cell>
          <cell r="C128">
            <v>0.36149999999999999</v>
          </cell>
        </row>
        <row r="129">
          <cell r="A129">
            <v>24510270902</v>
          </cell>
          <cell r="B129" t="str">
            <v>Perring Loch, Baltimore, MD</v>
          </cell>
          <cell r="C129">
            <v>0.3614</v>
          </cell>
        </row>
        <row r="130">
          <cell r="A130">
            <v>24510260203</v>
          </cell>
          <cell r="B130" t="str">
            <v>Frankford, Baltimore, MD</v>
          </cell>
          <cell r="C130">
            <v>0.36099999999999999</v>
          </cell>
        </row>
        <row r="131">
          <cell r="A131">
            <v>24510090300</v>
          </cell>
          <cell r="B131" t="str">
            <v>Ednor Gardens - Lakeside, Baltimore, MD</v>
          </cell>
          <cell r="C131">
            <v>0.36099999999999999</v>
          </cell>
        </row>
        <row r="132">
          <cell r="A132">
            <v>24005402307</v>
          </cell>
          <cell r="B132" t="str">
            <v>Pikesville, MD</v>
          </cell>
          <cell r="C132">
            <v>0.36070000000000002</v>
          </cell>
        </row>
        <row r="133">
          <cell r="A133">
            <v>24005402304</v>
          </cell>
          <cell r="B133" t="str">
            <v>Gwynn Oak, Baltimore, MD</v>
          </cell>
          <cell r="C133">
            <v>0.36</v>
          </cell>
        </row>
        <row r="134">
          <cell r="A134">
            <v>24005401102</v>
          </cell>
          <cell r="B134" t="str">
            <v>Gwynn Oak, Woodlawn, MD</v>
          </cell>
          <cell r="C134">
            <v>0.3594</v>
          </cell>
        </row>
        <row r="135">
          <cell r="A135">
            <v>24510250500</v>
          </cell>
          <cell r="B135" t="str">
            <v>Curtis Bay, Baltimore, MD</v>
          </cell>
          <cell r="C135">
            <v>0.35599999999999998</v>
          </cell>
        </row>
        <row r="136">
          <cell r="A136">
            <v>24510280102</v>
          </cell>
          <cell r="B136" t="str">
            <v>Gwynn Oak, Baltimore, MD</v>
          </cell>
          <cell r="C136">
            <v>0.35449999999999998</v>
          </cell>
        </row>
        <row r="137">
          <cell r="A137">
            <v>24005450503</v>
          </cell>
          <cell r="B137" t="str">
            <v>Essex, MD</v>
          </cell>
          <cell r="C137">
            <v>0.35389999999999999</v>
          </cell>
        </row>
        <row r="138">
          <cell r="A138">
            <v>24510250303</v>
          </cell>
          <cell r="B138" t="str">
            <v>Morrell Park, Baltimore, MD</v>
          </cell>
          <cell r="C138">
            <v>0.35339999999999999</v>
          </cell>
        </row>
        <row r="139">
          <cell r="A139">
            <v>24510110100</v>
          </cell>
          <cell r="B139" t="str">
            <v>Downtown, Baltimore, MD</v>
          </cell>
          <cell r="C139">
            <v>0.34870000000000001</v>
          </cell>
        </row>
        <row r="140">
          <cell r="A140">
            <v>24510270903</v>
          </cell>
          <cell r="B140" t="str">
            <v>Hillen, Baltimore, MD</v>
          </cell>
          <cell r="C140">
            <v>0.34520000000000001</v>
          </cell>
        </row>
        <row r="141">
          <cell r="A141">
            <v>24510130600</v>
          </cell>
          <cell r="B141" t="str">
            <v>Hampden, Baltimore, MD</v>
          </cell>
          <cell r="C141">
            <v>0.34289999999999998</v>
          </cell>
        </row>
        <row r="142">
          <cell r="A142">
            <v>24510260102</v>
          </cell>
          <cell r="B142" t="str">
            <v>Frankford, Baltimore, MD</v>
          </cell>
          <cell r="C142">
            <v>0.3422</v>
          </cell>
        </row>
        <row r="143">
          <cell r="A143">
            <v>24005450504</v>
          </cell>
          <cell r="B143" t="str">
            <v>Essex, MD</v>
          </cell>
          <cell r="C143">
            <v>0.3412</v>
          </cell>
        </row>
        <row r="144">
          <cell r="A144">
            <v>24005402303</v>
          </cell>
          <cell r="B144" t="str">
            <v>Windsor Mill, Baltimore, MD</v>
          </cell>
          <cell r="C144">
            <v>0.33929999999999999</v>
          </cell>
        </row>
        <row r="145">
          <cell r="A145">
            <v>24510130804</v>
          </cell>
          <cell r="B145" t="str">
            <v>Hampden, Baltimore, MD</v>
          </cell>
          <cell r="C145">
            <v>0.33929999999999999</v>
          </cell>
        </row>
        <row r="146">
          <cell r="A146">
            <v>24005403202</v>
          </cell>
          <cell r="B146" t="str">
            <v>Gwynn Oak, Baltimore, MD</v>
          </cell>
          <cell r="C146">
            <v>0.33689999999999998</v>
          </cell>
        </row>
        <row r="147">
          <cell r="A147">
            <v>24510260101</v>
          </cell>
          <cell r="B147" t="str">
            <v>Cedmont, Baltimore, MD</v>
          </cell>
          <cell r="C147">
            <v>0.33139999999999997</v>
          </cell>
        </row>
        <row r="148">
          <cell r="A148">
            <v>24003750203</v>
          </cell>
          <cell r="B148" t="str">
            <v>Baltimore, MD</v>
          </cell>
          <cell r="C148">
            <v>0.33050000000000002</v>
          </cell>
        </row>
        <row r="149">
          <cell r="A149">
            <v>24005430101</v>
          </cell>
          <cell r="B149" t="str">
            <v>Lansdowne - Baltimore Highlands, Lansdowne, MD</v>
          </cell>
          <cell r="C149">
            <v>0.32600000000000001</v>
          </cell>
        </row>
        <row r="150">
          <cell r="A150">
            <v>24005402406</v>
          </cell>
          <cell r="B150" t="str">
            <v>Windsor Mill, Milford Mill, MD</v>
          </cell>
          <cell r="C150">
            <v>0.32400000000000001</v>
          </cell>
        </row>
        <row r="151">
          <cell r="A151">
            <v>24005441000</v>
          </cell>
          <cell r="B151" t="str">
            <v>Baltimore, MD</v>
          </cell>
          <cell r="C151">
            <v>0.32350000000000001</v>
          </cell>
        </row>
        <row r="152">
          <cell r="A152">
            <v>24005421000</v>
          </cell>
          <cell r="B152" t="str">
            <v>Dundalk, MD</v>
          </cell>
          <cell r="C152">
            <v>0.32350000000000001</v>
          </cell>
        </row>
        <row r="153">
          <cell r="A153">
            <v>24510271900</v>
          </cell>
          <cell r="B153" t="str">
            <v>Glen, Baltimore, MD</v>
          </cell>
          <cell r="C153">
            <v>0.32200000000000001</v>
          </cell>
        </row>
        <row r="154">
          <cell r="A154">
            <v>24510010500</v>
          </cell>
          <cell r="B154" t="str">
            <v>Upper Fells Point, Baltimore, MD</v>
          </cell>
          <cell r="C154">
            <v>0.31869999999999998</v>
          </cell>
        </row>
        <row r="155">
          <cell r="A155">
            <v>24005451402</v>
          </cell>
          <cell r="B155" t="str">
            <v>Middle River, MD</v>
          </cell>
          <cell r="C155">
            <v>0.31709999999999999</v>
          </cell>
        </row>
        <row r="156">
          <cell r="A156">
            <v>24005401507</v>
          </cell>
          <cell r="B156" t="str">
            <v>Windsor Mill, Baltimore, MD</v>
          </cell>
          <cell r="C156">
            <v>0.31559999999999999</v>
          </cell>
        </row>
        <row r="157">
          <cell r="A157">
            <v>24005451401</v>
          </cell>
          <cell r="B157" t="str">
            <v>Middle River, MD</v>
          </cell>
          <cell r="C157">
            <v>0.31469999999999998</v>
          </cell>
        </row>
        <row r="158">
          <cell r="A158">
            <v>24510040100</v>
          </cell>
          <cell r="B158" t="str">
            <v>Downtown, Baltimore, MD</v>
          </cell>
          <cell r="C158">
            <v>0.31440000000000001</v>
          </cell>
        </row>
        <row r="159">
          <cell r="A159">
            <v>24005491402</v>
          </cell>
          <cell r="B159" t="str">
            <v>Parkville, MD</v>
          </cell>
          <cell r="C159">
            <v>0.31280000000000002</v>
          </cell>
        </row>
        <row r="160">
          <cell r="A160">
            <v>24510230300</v>
          </cell>
          <cell r="B160" t="str">
            <v>South Baltimore, Baltimore, MD</v>
          </cell>
          <cell r="C160">
            <v>0.31040000000000001</v>
          </cell>
        </row>
        <row r="161">
          <cell r="A161">
            <v>24510140100</v>
          </cell>
          <cell r="B161" t="str">
            <v>Bolton Hill, Baltimore, MD</v>
          </cell>
          <cell r="C161">
            <v>0.30919999999999997</v>
          </cell>
        </row>
        <row r="162">
          <cell r="A162">
            <v>24005402306</v>
          </cell>
          <cell r="B162" t="str">
            <v>Windsor Mill, Baltimore, MD</v>
          </cell>
          <cell r="C162">
            <v>0.30769999999999997</v>
          </cell>
        </row>
        <row r="163">
          <cell r="A163">
            <v>24510130806</v>
          </cell>
          <cell r="B163" t="str">
            <v>Woodberry, Baltimore, MD</v>
          </cell>
          <cell r="C163">
            <v>0.30719999999999997</v>
          </cell>
        </row>
        <row r="164">
          <cell r="A164">
            <v>24003750803</v>
          </cell>
          <cell r="B164" t="str">
            <v>Glen Burnie, MD</v>
          </cell>
          <cell r="C164">
            <v>0.3054</v>
          </cell>
        </row>
        <row r="165">
          <cell r="A165">
            <v>24005450800</v>
          </cell>
          <cell r="B165" t="str">
            <v>Essex, MD</v>
          </cell>
          <cell r="C165">
            <v>0.30509999999999998</v>
          </cell>
        </row>
        <row r="166">
          <cell r="A166">
            <v>24005402503</v>
          </cell>
          <cell r="B166" t="str">
            <v>Randallstown, MD</v>
          </cell>
          <cell r="C166">
            <v>0.30459999999999998</v>
          </cell>
        </row>
        <row r="167">
          <cell r="A167">
            <v>24005451300</v>
          </cell>
          <cell r="B167" t="str">
            <v>Middle River, MD</v>
          </cell>
          <cell r="C167">
            <v>0.30449999999999999</v>
          </cell>
        </row>
        <row r="168">
          <cell r="A168">
            <v>24510280302</v>
          </cell>
          <cell r="B168" t="str">
            <v>West Forest Park, Baltimore, MD</v>
          </cell>
          <cell r="C168">
            <v>0.30430000000000001</v>
          </cell>
        </row>
        <row r="169">
          <cell r="A169">
            <v>24003750102</v>
          </cell>
          <cell r="B169" t="str">
            <v>Baltimore, MD</v>
          </cell>
          <cell r="C169">
            <v>0.30349999999999999</v>
          </cell>
        </row>
        <row r="170">
          <cell r="A170">
            <v>24510270801</v>
          </cell>
          <cell r="B170" t="str">
            <v>Idlewood, Baltimore, MD</v>
          </cell>
          <cell r="C170">
            <v>0.3029</v>
          </cell>
        </row>
        <row r="171">
          <cell r="A171">
            <v>24510270702</v>
          </cell>
          <cell r="B171" t="str">
            <v>Harford - Echodale - Perring Parkway, Baltimore, MD</v>
          </cell>
          <cell r="C171">
            <v>0.3024</v>
          </cell>
        </row>
        <row r="172">
          <cell r="A172">
            <v>24510230200</v>
          </cell>
          <cell r="B172" t="str">
            <v>South Baltimore, Baltimore, MD</v>
          </cell>
          <cell r="C172">
            <v>0.3009</v>
          </cell>
        </row>
        <row r="173">
          <cell r="A173">
            <v>24005402602</v>
          </cell>
          <cell r="B173" t="str">
            <v>Randallstown, MD</v>
          </cell>
          <cell r="C173">
            <v>0.30070000000000002</v>
          </cell>
        </row>
        <row r="174">
          <cell r="A174">
            <v>24510020200</v>
          </cell>
          <cell r="B174" t="str">
            <v>Upper Fells Point, Baltimore, MD</v>
          </cell>
          <cell r="C174">
            <v>0.3004</v>
          </cell>
        </row>
        <row r="175">
          <cell r="A175">
            <v>24510020100</v>
          </cell>
          <cell r="B175" t="str">
            <v>Upper Fells Point, Baltimore, MD</v>
          </cell>
          <cell r="C175">
            <v>0.29980000000000001</v>
          </cell>
        </row>
        <row r="176">
          <cell r="A176">
            <v>24510261100</v>
          </cell>
          <cell r="B176" t="str">
            <v>Canton, Baltimore, MD</v>
          </cell>
          <cell r="C176">
            <v>0.29899999999999999</v>
          </cell>
        </row>
        <row r="177">
          <cell r="A177">
            <v>24005451500</v>
          </cell>
          <cell r="B177" t="str">
            <v>Middle River, MD</v>
          </cell>
          <cell r="C177">
            <v>0.2984</v>
          </cell>
        </row>
        <row r="178">
          <cell r="A178">
            <v>24510270401</v>
          </cell>
          <cell r="B178" t="str">
            <v>Glenham-Belford, Baltimore, MD</v>
          </cell>
          <cell r="C178">
            <v>0.29749999999999999</v>
          </cell>
        </row>
        <row r="179">
          <cell r="A179">
            <v>24510120201</v>
          </cell>
          <cell r="B179" t="str">
            <v>Baltimore, MD</v>
          </cell>
          <cell r="C179">
            <v>0.29570000000000002</v>
          </cell>
        </row>
        <row r="180">
          <cell r="A180">
            <v>24003750101</v>
          </cell>
          <cell r="B180" t="str">
            <v>Brooklyn Park, MD</v>
          </cell>
          <cell r="C180">
            <v>0.29520000000000002</v>
          </cell>
        </row>
        <row r="181">
          <cell r="A181">
            <v>24005450400</v>
          </cell>
          <cell r="B181" t="str">
            <v>Essex, MD</v>
          </cell>
          <cell r="C181">
            <v>0.29480000000000001</v>
          </cell>
        </row>
        <row r="182">
          <cell r="A182">
            <v>24510270102</v>
          </cell>
          <cell r="B182" t="str">
            <v>Waltherson, Baltimore, MD</v>
          </cell>
          <cell r="C182">
            <v>0.29399999999999998</v>
          </cell>
        </row>
        <row r="183">
          <cell r="A183">
            <v>24510010200</v>
          </cell>
          <cell r="B183" t="str">
            <v>Patterson Park, Baltimore, MD</v>
          </cell>
          <cell r="C183">
            <v>0.29249999999999998</v>
          </cell>
        </row>
        <row r="184">
          <cell r="A184">
            <v>24510260605</v>
          </cell>
          <cell r="B184" t="str">
            <v>Medford - Broening, Baltimore, MD</v>
          </cell>
          <cell r="C184">
            <v>0.29160000000000003</v>
          </cell>
        </row>
        <row r="185">
          <cell r="A185">
            <v>24005402305</v>
          </cell>
          <cell r="B185" t="str">
            <v>Lochearn, Pikesville, MD</v>
          </cell>
          <cell r="C185">
            <v>0.29020000000000001</v>
          </cell>
        </row>
        <row r="186">
          <cell r="A186">
            <v>24510260401</v>
          </cell>
          <cell r="B186" t="str">
            <v>Armistead Gardens, Baltimore, MD</v>
          </cell>
          <cell r="C186">
            <v>0.28839999999999999</v>
          </cell>
        </row>
        <row r="187">
          <cell r="A187">
            <v>24510280401</v>
          </cell>
          <cell r="B187" t="str">
            <v>Baltimore, MD</v>
          </cell>
          <cell r="C187">
            <v>0.28670000000000001</v>
          </cell>
        </row>
        <row r="188">
          <cell r="A188">
            <v>24510280403</v>
          </cell>
          <cell r="B188" t="str">
            <v>Westgate, Baltimore, MD</v>
          </cell>
          <cell r="C188">
            <v>0.2863</v>
          </cell>
        </row>
        <row r="189">
          <cell r="A189">
            <v>24005492300</v>
          </cell>
          <cell r="B189" t="str">
            <v>Essex, MD</v>
          </cell>
          <cell r="C189">
            <v>0.28139999999999998</v>
          </cell>
        </row>
        <row r="190">
          <cell r="A190">
            <v>24005401506</v>
          </cell>
          <cell r="B190" t="str">
            <v>Windsor Mill, Baltimore, MD</v>
          </cell>
          <cell r="C190">
            <v>0.28010000000000002</v>
          </cell>
        </row>
        <row r="191">
          <cell r="A191">
            <v>24510010300</v>
          </cell>
          <cell r="B191" t="str">
            <v>Canton, Baltimore, MD</v>
          </cell>
          <cell r="C191">
            <v>0.27779999999999999</v>
          </cell>
        </row>
        <row r="192">
          <cell r="A192">
            <v>24005402405</v>
          </cell>
          <cell r="B192" t="str">
            <v>Gwynn Oak, Baltimore, MD</v>
          </cell>
          <cell r="C192">
            <v>0.26919999999999999</v>
          </cell>
        </row>
        <row r="193">
          <cell r="A193">
            <v>24005402302</v>
          </cell>
          <cell r="B193" t="str">
            <v>Windsor Mill, Milford Mill, MD</v>
          </cell>
          <cell r="C193">
            <v>0.26469999999999999</v>
          </cell>
        </row>
        <row r="194">
          <cell r="A194">
            <v>24005401101</v>
          </cell>
          <cell r="B194" t="str">
            <v>Woodlawn, MD</v>
          </cell>
          <cell r="C194">
            <v>0.26279999999999998</v>
          </cell>
        </row>
        <row r="195">
          <cell r="A195">
            <v>24005430300</v>
          </cell>
          <cell r="B195" t="str">
            <v>Lansdowne - Baltimore Highlands, Halethorpe, MD</v>
          </cell>
          <cell r="C195">
            <v>0.26200000000000001</v>
          </cell>
        </row>
        <row r="196">
          <cell r="A196">
            <v>24510270200</v>
          </cell>
          <cell r="B196" t="str">
            <v>Lauraville, Baltimore, MD</v>
          </cell>
          <cell r="C196">
            <v>0.26</v>
          </cell>
        </row>
        <row r="197">
          <cell r="A197">
            <v>24510130700</v>
          </cell>
          <cell r="B197" t="str">
            <v>Hampden, Baltimore, MD</v>
          </cell>
          <cell r="C197">
            <v>0.2571</v>
          </cell>
        </row>
        <row r="198">
          <cell r="A198">
            <v>24005402407</v>
          </cell>
          <cell r="B198" t="str">
            <v>Windsor Mill, Milford Mill, MD</v>
          </cell>
          <cell r="C198">
            <v>0.25669999999999998</v>
          </cell>
        </row>
        <row r="199">
          <cell r="A199">
            <v>24510240100</v>
          </cell>
          <cell r="B199" t="str">
            <v>Locust Point, Baltimore, MD</v>
          </cell>
          <cell r="C199">
            <v>0.25569999999999998</v>
          </cell>
        </row>
        <row r="200">
          <cell r="A200">
            <v>24510270101</v>
          </cell>
          <cell r="B200" t="str">
            <v>Arcadia, Baltimore, MD</v>
          </cell>
          <cell r="C200">
            <v>0.255</v>
          </cell>
        </row>
        <row r="201">
          <cell r="A201">
            <v>24510250401</v>
          </cell>
          <cell r="B201" t="str">
            <v>Brooklyn, Baltimore, MD</v>
          </cell>
          <cell r="C201">
            <v>0.25419999999999998</v>
          </cell>
        </row>
        <row r="202">
          <cell r="A202">
            <v>24005400900</v>
          </cell>
          <cell r="B202" t="str">
            <v>Catonsville, MD</v>
          </cell>
          <cell r="C202">
            <v>0.25340000000000001</v>
          </cell>
        </row>
        <row r="203">
          <cell r="A203">
            <v>24005452400</v>
          </cell>
          <cell r="B203" t="str">
            <v>Dundalk, MD</v>
          </cell>
          <cell r="C203">
            <v>0.252</v>
          </cell>
        </row>
        <row r="204">
          <cell r="A204">
            <v>24005420402</v>
          </cell>
          <cell r="B204" t="str">
            <v>Dundalk, MD</v>
          </cell>
          <cell r="C204">
            <v>0.2515</v>
          </cell>
        </row>
        <row r="205">
          <cell r="A205">
            <v>24510250206</v>
          </cell>
          <cell r="B205" t="str">
            <v>Morrell Park, Baltimore, MD</v>
          </cell>
          <cell r="C205">
            <v>0.24829999999999999</v>
          </cell>
        </row>
        <row r="206">
          <cell r="A206">
            <v>24005420401</v>
          </cell>
          <cell r="B206" t="str">
            <v>Dundalk, MD</v>
          </cell>
          <cell r="C206">
            <v>0.2482</v>
          </cell>
        </row>
        <row r="207">
          <cell r="A207">
            <v>24003750201</v>
          </cell>
          <cell r="B207" t="str">
            <v>Brooklyn, Baltimore, MD</v>
          </cell>
          <cell r="C207">
            <v>0.24660000000000001</v>
          </cell>
        </row>
        <row r="208">
          <cell r="A208">
            <v>24005402403</v>
          </cell>
          <cell r="B208" t="str">
            <v>Gwynn Oak, Baltimore, MD</v>
          </cell>
          <cell r="C208">
            <v>0.24660000000000001</v>
          </cell>
        </row>
        <row r="209">
          <cell r="A209">
            <v>24005401301</v>
          </cell>
          <cell r="B209" t="str">
            <v>Woodlawn, MD</v>
          </cell>
          <cell r="C209">
            <v>0.2455</v>
          </cell>
        </row>
        <row r="210">
          <cell r="A210">
            <v>24510272006</v>
          </cell>
          <cell r="B210" t="str">
            <v>Glen, Baltimore, MD</v>
          </cell>
          <cell r="C210">
            <v>0.24429999999999999</v>
          </cell>
        </row>
        <row r="211">
          <cell r="A211">
            <v>24510270804</v>
          </cell>
          <cell r="B211" t="str">
            <v>Lake Walker, Baltimore, MD</v>
          </cell>
          <cell r="C211">
            <v>0.24329999999999999</v>
          </cell>
        </row>
        <row r="212">
          <cell r="A212">
            <v>24510240400</v>
          </cell>
          <cell r="B212" t="str">
            <v>Riverside Park, Baltimore, MD</v>
          </cell>
          <cell r="C212">
            <v>0.24160000000000001</v>
          </cell>
        </row>
        <row r="213">
          <cell r="A213">
            <v>24005420301</v>
          </cell>
          <cell r="B213" t="str">
            <v>Dundalk, MD</v>
          </cell>
          <cell r="C213">
            <v>0.24149999999999999</v>
          </cell>
        </row>
        <row r="214">
          <cell r="A214">
            <v>24005420100</v>
          </cell>
          <cell r="B214" t="str">
            <v>Dundalk, MD</v>
          </cell>
          <cell r="C214">
            <v>0.24060000000000001</v>
          </cell>
        </row>
        <row r="215">
          <cell r="A215">
            <v>24510230100</v>
          </cell>
          <cell r="B215" t="str">
            <v>Baltimore, MD</v>
          </cell>
          <cell r="C215">
            <v>0.24</v>
          </cell>
        </row>
        <row r="216">
          <cell r="A216">
            <v>24510130805</v>
          </cell>
          <cell r="B216" t="str">
            <v>Cold Springs, Baltimore, MD</v>
          </cell>
          <cell r="C216">
            <v>0.23980000000000001</v>
          </cell>
        </row>
        <row r="217">
          <cell r="A217">
            <v>24005450501</v>
          </cell>
          <cell r="B217" t="str">
            <v>Essex, MD</v>
          </cell>
          <cell r="C217">
            <v>0.2351</v>
          </cell>
        </row>
        <row r="218">
          <cell r="A218">
            <v>24027601203</v>
          </cell>
          <cell r="B218" t="str">
            <v>Elkridge, MD</v>
          </cell>
          <cell r="C218">
            <v>0.23219999999999999</v>
          </cell>
        </row>
        <row r="219">
          <cell r="A219">
            <v>24510010100</v>
          </cell>
          <cell r="B219" t="str">
            <v>Canton, Baltimore, MD</v>
          </cell>
          <cell r="C219">
            <v>0.23219999999999999</v>
          </cell>
        </row>
        <row r="220">
          <cell r="A220">
            <v>24510260700</v>
          </cell>
          <cell r="B220" t="str">
            <v>Fifteenth Street, Baltimore, MD</v>
          </cell>
          <cell r="C220">
            <v>0.23089999999999999</v>
          </cell>
        </row>
        <row r="221">
          <cell r="A221">
            <v>24005440701</v>
          </cell>
          <cell r="B221" t="str">
            <v>Rosedale, MD</v>
          </cell>
          <cell r="C221">
            <v>0.23050000000000001</v>
          </cell>
        </row>
        <row r="222">
          <cell r="A222">
            <v>24005401302</v>
          </cell>
          <cell r="B222" t="str">
            <v>Gwynn Oak, Baltimore, MD</v>
          </cell>
          <cell r="C222">
            <v>0.22950000000000001</v>
          </cell>
        </row>
        <row r="223">
          <cell r="A223">
            <v>24005402603</v>
          </cell>
          <cell r="B223" t="str">
            <v>Randallstown, MD</v>
          </cell>
          <cell r="C223">
            <v>0.22789999999999999</v>
          </cell>
        </row>
        <row r="224">
          <cell r="A224">
            <v>24005430900</v>
          </cell>
          <cell r="B224" t="str">
            <v>Baltimore, MD</v>
          </cell>
          <cell r="C224">
            <v>0.22720000000000001</v>
          </cell>
        </row>
        <row r="225">
          <cell r="A225">
            <v>24510270402</v>
          </cell>
          <cell r="B225" t="str">
            <v>Glenham-Belford, Baltimore, MD</v>
          </cell>
          <cell r="C225">
            <v>0.22689999999999999</v>
          </cell>
        </row>
        <row r="226">
          <cell r="A226">
            <v>24005420600</v>
          </cell>
          <cell r="B226" t="str">
            <v>Baltimore, MD</v>
          </cell>
          <cell r="C226">
            <v>0.2248</v>
          </cell>
        </row>
        <row r="227">
          <cell r="A227">
            <v>24005430200</v>
          </cell>
          <cell r="B227" t="str">
            <v>Lansdowne - Baltimore Highlands, Lansdowne, MD</v>
          </cell>
          <cell r="C227">
            <v>0.22289999999999999</v>
          </cell>
        </row>
        <row r="228">
          <cell r="A228">
            <v>24003750202</v>
          </cell>
          <cell r="B228" t="str">
            <v>Brooklyn Park, MD</v>
          </cell>
          <cell r="C228">
            <v>0.21990000000000001</v>
          </cell>
        </row>
        <row r="229">
          <cell r="A229">
            <v>24003751102</v>
          </cell>
          <cell r="B229" t="str">
            <v>Glen Burnie, MD</v>
          </cell>
          <cell r="C229">
            <v>0.21990000000000001</v>
          </cell>
        </row>
        <row r="230">
          <cell r="A230">
            <v>24005402604</v>
          </cell>
          <cell r="B230" t="str">
            <v>Randallstown, MD</v>
          </cell>
          <cell r="C230">
            <v>0.21840000000000001</v>
          </cell>
        </row>
        <row r="231">
          <cell r="A231">
            <v>24510270301</v>
          </cell>
          <cell r="B231" t="str">
            <v>Lauraville, Baltimore, MD</v>
          </cell>
          <cell r="C231">
            <v>0.21759999999999999</v>
          </cell>
        </row>
        <row r="232">
          <cell r="A232">
            <v>24005402506</v>
          </cell>
          <cell r="B232" t="str">
            <v>Randallstown, MD</v>
          </cell>
          <cell r="C232">
            <v>0.2165</v>
          </cell>
        </row>
        <row r="233">
          <cell r="A233">
            <v>24005421101</v>
          </cell>
          <cell r="B233" t="str">
            <v>Baltimore, MD</v>
          </cell>
          <cell r="C233">
            <v>0.21540000000000001</v>
          </cell>
        </row>
        <row r="234">
          <cell r="A234">
            <v>24005403402</v>
          </cell>
          <cell r="B234" t="str">
            <v>Pikesville, MD</v>
          </cell>
          <cell r="C234">
            <v>0.215</v>
          </cell>
        </row>
        <row r="235">
          <cell r="A235">
            <v>24005451801</v>
          </cell>
          <cell r="B235" t="str">
            <v>Middle River, MD</v>
          </cell>
          <cell r="C235">
            <v>0.21460000000000001</v>
          </cell>
        </row>
        <row r="236">
          <cell r="A236">
            <v>24003730100</v>
          </cell>
          <cell r="B236" t="str">
            <v>Chestnut Hill Cove, Riviera Beach, MD</v>
          </cell>
          <cell r="C236">
            <v>0.2145</v>
          </cell>
        </row>
        <row r="237">
          <cell r="A237">
            <v>24005452500</v>
          </cell>
          <cell r="B237" t="str">
            <v>Dundalk, MD</v>
          </cell>
          <cell r="C237">
            <v>0.2127</v>
          </cell>
        </row>
        <row r="238">
          <cell r="A238">
            <v>24005452300</v>
          </cell>
          <cell r="B238" t="str">
            <v>Baltimore, MD</v>
          </cell>
          <cell r="C238">
            <v>0.2114</v>
          </cell>
        </row>
        <row r="239">
          <cell r="A239">
            <v>24005420900</v>
          </cell>
          <cell r="B239" t="str">
            <v>Dundalk, MD</v>
          </cell>
          <cell r="C239">
            <v>0.2104</v>
          </cell>
        </row>
        <row r="240">
          <cell r="A240">
            <v>24510010400</v>
          </cell>
          <cell r="B240" t="str">
            <v>Canton, Baltimore, MD</v>
          </cell>
          <cell r="C240">
            <v>0.20880000000000001</v>
          </cell>
        </row>
        <row r="241">
          <cell r="A241">
            <v>24510240300</v>
          </cell>
          <cell r="B241" t="str">
            <v>Riverside, Baltimore, MD</v>
          </cell>
          <cell r="C241">
            <v>0.20730000000000001</v>
          </cell>
        </row>
        <row r="242">
          <cell r="A242">
            <v>24005400800</v>
          </cell>
          <cell r="B242" t="str">
            <v>Catonsville, MD</v>
          </cell>
          <cell r="C242">
            <v>0.20680000000000001</v>
          </cell>
        </row>
        <row r="243">
          <cell r="A243">
            <v>24005403100</v>
          </cell>
          <cell r="B243" t="str">
            <v>Gwynn Oak, Pikesville, MD</v>
          </cell>
          <cell r="C243">
            <v>0.20610000000000001</v>
          </cell>
        </row>
        <row r="244">
          <cell r="A244">
            <v>24005401200</v>
          </cell>
          <cell r="B244" t="str">
            <v>Woodlawn, MD</v>
          </cell>
          <cell r="C244">
            <v>0.20369999999999999</v>
          </cell>
        </row>
        <row r="245">
          <cell r="A245">
            <v>24005420701</v>
          </cell>
          <cell r="B245" t="str">
            <v>Dundalk, MD</v>
          </cell>
          <cell r="C245">
            <v>0.20180000000000001</v>
          </cell>
        </row>
        <row r="246">
          <cell r="A246">
            <v>24510270302</v>
          </cell>
          <cell r="B246" t="str">
            <v>Waltherson, Baltimore, MD</v>
          </cell>
          <cell r="C246">
            <v>0.2016</v>
          </cell>
        </row>
        <row r="247">
          <cell r="A247">
            <v>24005451100</v>
          </cell>
          <cell r="B247" t="str">
            <v>Essex, MD</v>
          </cell>
          <cell r="C247">
            <v>0.20100000000000001</v>
          </cell>
        </row>
        <row r="248">
          <cell r="A248">
            <v>24510272007</v>
          </cell>
          <cell r="B248" t="str">
            <v>Fallstaff, Baltimore, MD</v>
          </cell>
          <cell r="C248">
            <v>0.19739999999999999</v>
          </cell>
        </row>
        <row r="249">
          <cell r="A249">
            <v>24005452000</v>
          </cell>
          <cell r="B249" t="str">
            <v>Sparrows Point, MD</v>
          </cell>
          <cell r="C249">
            <v>0.19689999999999999</v>
          </cell>
        </row>
        <row r="250">
          <cell r="A250">
            <v>24025306500</v>
          </cell>
          <cell r="B250" t="str">
            <v>Aberdeen Proving Ground, MD</v>
          </cell>
          <cell r="C250">
            <v>0.19650000000000001</v>
          </cell>
        </row>
        <row r="251">
          <cell r="A251">
            <v>24005450100</v>
          </cell>
          <cell r="B251" t="str">
            <v>Rosedale, MD</v>
          </cell>
          <cell r="C251">
            <v>0.19589999999999999</v>
          </cell>
        </row>
        <row r="252">
          <cell r="A252">
            <v>24005450200</v>
          </cell>
          <cell r="B252" t="str">
            <v>Essex, MD</v>
          </cell>
          <cell r="C252">
            <v>0.19570000000000001</v>
          </cell>
        </row>
        <row r="253">
          <cell r="A253">
            <v>24003750300</v>
          </cell>
          <cell r="B253" t="str">
            <v>Linthicum Heights, MD</v>
          </cell>
          <cell r="C253">
            <v>0.19420000000000001</v>
          </cell>
        </row>
        <row r="254">
          <cell r="A254">
            <v>24005451600</v>
          </cell>
          <cell r="B254" t="str">
            <v>Middle River, MD</v>
          </cell>
          <cell r="C254">
            <v>0.1925</v>
          </cell>
        </row>
        <row r="255">
          <cell r="A255">
            <v>24510240200</v>
          </cell>
          <cell r="B255" t="str">
            <v>Riverside, Baltimore, MD</v>
          </cell>
          <cell r="C255">
            <v>0.1923</v>
          </cell>
        </row>
        <row r="256">
          <cell r="A256">
            <v>24005440400</v>
          </cell>
          <cell r="B256" t="str">
            <v>Baltimore, MD</v>
          </cell>
          <cell r="C256">
            <v>0.19120000000000001</v>
          </cell>
        </row>
        <row r="257">
          <cell r="A257">
            <v>24510260501</v>
          </cell>
          <cell r="B257" t="str">
            <v>Joseph Lee, Baltimore, MD</v>
          </cell>
          <cell r="C257">
            <v>0.19</v>
          </cell>
        </row>
        <row r="258">
          <cell r="A258">
            <v>24510270600</v>
          </cell>
          <cell r="B258" t="str">
            <v>Harford - Echodale - Perring Parkway, Baltimore, MD</v>
          </cell>
          <cell r="C258">
            <v>0.1883</v>
          </cell>
        </row>
        <row r="259">
          <cell r="A259">
            <v>24005401505</v>
          </cell>
          <cell r="B259" t="str">
            <v>Catonsville, MD</v>
          </cell>
          <cell r="C259">
            <v>0.18740000000000001</v>
          </cell>
        </row>
        <row r="260">
          <cell r="A260">
            <v>24005400702</v>
          </cell>
          <cell r="B260" t="str">
            <v>Baltimore, MD</v>
          </cell>
          <cell r="C260">
            <v>0.18720000000000001</v>
          </cell>
        </row>
        <row r="261">
          <cell r="A261">
            <v>24005430104</v>
          </cell>
          <cell r="B261" t="str">
            <v>Lansdowne - Baltimore Highlands, Halethorpe, MD</v>
          </cell>
          <cell r="C261">
            <v>0.18590000000000001</v>
          </cell>
        </row>
        <row r="262">
          <cell r="A262">
            <v>24005403201</v>
          </cell>
          <cell r="B262" t="str">
            <v>Gwynn Oak, Lochearn, MD</v>
          </cell>
          <cell r="C262">
            <v>0.18390000000000001</v>
          </cell>
        </row>
        <row r="263">
          <cell r="A263">
            <v>24005420800</v>
          </cell>
          <cell r="B263" t="str">
            <v>Dundalk, MD</v>
          </cell>
          <cell r="C263">
            <v>0.183</v>
          </cell>
        </row>
        <row r="264">
          <cell r="A264">
            <v>24005492102</v>
          </cell>
          <cell r="B264" t="str">
            <v>Parkville, MD</v>
          </cell>
          <cell r="C264">
            <v>0.18290000000000001</v>
          </cell>
        </row>
        <row r="265">
          <cell r="A265">
            <v>24005441102</v>
          </cell>
          <cell r="B265" t="str">
            <v>Rosedale, MD</v>
          </cell>
          <cell r="C265">
            <v>0.1787</v>
          </cell>
        </row>
        <row r="266">
          <cell r="A266">
            <v>24510250103</v>
          </cell>
          <cell r="B266" t="str">
            <v>Violetville, Baltimore, MD</v>
          </cell>
          <cell r="C266">
            <v>0.17810000000000001</v>
          </cell>
        </row>
        <row r="267">
          <cell r="A267">
            <v>24005451802</v>
          </cell>
          <cell r="B267" t="str">
            <v>Middle River, MD</v>
          </cell>
          <cell r="C267">
            <v>0.17630000000000001</v>
          </cell>
        </row>
        <row r="268">
          <cell r="A268">
            <v>24005451900</v>
          </cell>
          <cell r="B268" t="str">
            <v>Edgemere, MD</v>
          </cell>
          <cell r="C268">
            <v>0.1762</v>
          </cell>
        </row>
        <row r="269">
          <cell r="A269">
            <v>24003751103</v>
          </cell>
          <cell r="B269" t="str">
            <v>Glen Burnie, MD</v>
          </cell>
          <cell r="C269">
            <v>0.1749</v>
          </cell>
        </row>
        <row r="270">
          <cell r="A270">
            <v>24510260900</v>
          </cell>
          <cell r="B270" t="str">
            <v>Baltimore, MD</v>
          </cell>
          <cell r="C270">
            <v>0.1749</v>
          </cell>
        </row>
        <row r="271">
          <cell r="A271">
            <v>24005430400</v>
          </cell>
          <cell r="B271" t="str">
            <v>Halethorpe, MD</v>
          </cell>
          <cell r="C271">
            <v>0.17380000000000001</v>
          </cell>
        </row>
        <row r="272">
          <cell r="A272">
            <v>24005420302</v>
          </cell>
          <cell r="B272" t="str">
            <v>Dundalk, MD</v>
          </cell>
          <cell r="C272">
            <v>0.17369999999999999</v>
          </cell>
        </row>
        <row r="273">
          <cell r="A273">
            <v>24005420702</v>
          </cell>
          <cell r="B273" t="str">
            <v>Dundalk, MD</v>
          </cell>
          <cell r="C273">
            <v>0.17199999999999999</v>
          </cell>
        </row>
        <row r="274">
          <cell r="A274">
            <v>24005440702</v>
          </cell>
          <cell r="B274" t="str">
            <v>Rosedale, MD</v>
          </cell>
          <cell r="C274">
            <v>0.16950000000000001</v>
          </cell>
        </row>
        <row r="275">
          <cell r="A275">
            <v>24005421102</v>
          </cell>
          <cell r="B275" t="str">
            <v>Dundalk, MD</v>
          </cell>
          <cell r="C275">
            <v>0.16869999999999999</v>
          </cell>
        </row>
        <row r="276">
          <cell r="A276">
            <v>24005451803</v>
          </cell>
          <cell r="B276" t="str">
            <v>Middle River, MD</v>
          </cell>
          <cell r="C276">
            <v>0.16850000000000001</v>
          </cell>
        </row>
        <row r="277">
          <cell r="A277">
            <v>24510270502</v>
          </cell>
          <cell r="B277" t="str">
            <v>North Harford Road, Baltimore, MD</v>
          </cell>
          <cell r="C277">
            <v>0.16789999999999999</v>
          </cell>
        </row>
        <row r="278">
          <cell r="A278">
            <v>24510130803</v>
          </cell>
          <cell r="B278" t="str">
            <v>Medfield, Baltimore, MD</v>
          </cell>
          <cell r="C278">
            <v>0.1646</v>
          </cell>
        </row>
        <row r="279">
          <cell r="A279">
            <v>24005451200</v>
          </cell>
          <cell r="B279" t="str">
            <v>Middle River, MD</v>
          </cell>
          <cell r="C279">
            <v>0.1641</v>
          </cell>
        </row>
        <row r="280">
          <cell r="A280">
            <v>24005420500</v>
          </cell>
          <cell r="B280" t="str">
            <v>Baltimore, MD</v>
          </cell>
          <cell r="C280">
            <v>0.16370000000000001</v>
          </cell>
        </row>
        <row r="281">
          <cell r="A281">
            <v>24510270501</v>
          </cell>
          <cell r="B281" t="str">
            <v>Woodring, Baltimore, MD</v>
          </cell>
          <cell r="C281">
            <v>0.16270000000000001</v>
          </cell>
        </row>
        <row r="282">
          <cell r="A282">
            <v>24025301401</v>
          </cell>
          <cell r="B282" t="str">
            <v>Harford County, MD</v>
          </cell>
          <cell r="C282">
            <v>0.1603</v>
          </cell>
        </row>
        <row r="283">
          <cell r="A283">
            <v>24005452100</v>
          </cell>
          <cell r="B283" t="str">
            <v>Sparrows Point, MD</v>
          </cell>
          <cell r="C283">
            <v>0.16</v>
          </cell>
        </row>
        <row r="284">
          <cell r="A284">
            <v>24005440500</v>
          </cell>
          <cell r="B284" t="str">
            <v>Nottingham, MD</v>
          </cell>
          <cell r="C284">
            <v>0.15970000000000001</v>
          </cell>
        </row>
        <row r="285">
          <cell r="A285">
            <v>24005492002</v>
          </cell>
          <cell r="B285" t="str">
            <v>Parkville, MD</v>
          </cell>
          <cell r="C285">
            <v>0.15859999999999999</v>
          </cell>
        </row>
        <row r="286">
          <cell r="A286">
            <v>24005440900</v>
          </cell>
          <cell r="B286" t="str">
            <v>Rosedale, MD</v>
          </cell>
          <cell r="C286">
            <v>0.15820000000000001</v>
          </cell>
        </row>
        <row r="287">
          <cell r="A287">
            <v>24005491500</v>
          </cell>
          <cell r="B287" t="str">
            <v>Parkville, MD</v>
          </cell>
          <cell r="C287">
            <v>0.15809999999999999</v>
          </cell>
        </row>
        <row r="288">
          <cell r="A288">
            <v>24510220100</v>
          </cell>
          <cell r="B288" t="str">
            <v>Baltimore, MD</v>
          </cell>
          <cell r="C288">
            <v>0.15759999999999999</v>
          </cell>
        </row>
        <row r="289">
          <cell r="A289">
            <v>24005451000</v>
          </cell>
          <cell r="B289" t="str">
            <v>Essex, MD</v>
          </cell>
          <cell r="C289">
            <v>0.15659999999999999</v>
          </cell>
        </row>
        <row r="290">
          <cell r="A290">
            <v>24005403300</v>
          </cell>
          <cell r="B290" t="str">
            <v>Lochearn, Pikesville, MD</v>
          </cell>
          <cell r="C290">
            <v>0.15429999999999999</v>
          </cell>
        </row>
        <row r="291">
          <cell r="A291">
            <v>24005430800</v>
          </cell>
          <cell r="B291" t="str">
            <v>Halethorpe, MD</v>
          </cell>
          <cell r="C291">
            <v>0.1535</v>
          </cell>
        </row>
        <row r="292">
          <cell r="A292">
            <v>24005400701</v>
          </cell>
          <cell r="B292" t="str">
            <v>Catonsville, MD</v>
          </cell>
          <cell r="C292">
            <v>0.15</v>
          </cell>
        </row>
        <row r="293">
          <cell r="A293">
            <v>24003750801</v>
          </cell>
          <cell r="B293" t="str">
            <v>Glen Burnie, MD</v>
          </cell>
          <cell r="C293">
            <v>0.14910000000000001</v>
          </cell>
        </row>
        <row r="294">
          <cell r="A294">
            <v>24510020300</v>
          </cell>
          <cell r="B294" t="str">
            <v>Fells Point, Baltimore, MD</v>
          </cell>
          <cell r="C294">
            <v>0.1467</v>
          </cell>
        </row>
        <row r="295">
          <cell r="A295">
            <v>24005421200</v>
          </cell>
          <cell r="B295" t="str">
            <v>Dundalk, MD</v>
          </cell>
          <cell r="C295">
            <v>0.14660000000000001</v>
          </cell>
        </row>
        <row r="296">
          <cell r="A296">
            <v>24005420303</v>
          </cell>
          <cell r="B296" t="str">
            <v>Dundalk, MD</v>
          </cell>
          <cell r="C296">
            <v>0.14599999999999999</v>
          </cell>
        </row>
        <row r="297">
          <cell r="A297">
            <v>24005440800</v>
          </cell>
          <cell r="B297" t="str">
            <v>Rosedale, MD</v>
          </cell>
          <cell r="C297">
            <v>0.1457</v>
          </cell>
        </row>
        <row r="298">
          <cell r="A298">
            <v>24510271101</v>
          </cell>
          <cell r="B298" t="str">
            <v>Radnor - Winston, Baltimore, MD</v>
          </cell>
          <cell r="C298">
            <v>0.1457</v>
          </cell>
        </row>
        <row r="299">
          <cell r="A299">
            <v>24005451702</v>
          </cell>
          <cell r="B299" t="str">
            <v>Middle River, MD</v>
          </cell>
          <cell r="C299">
            <v>0.14399999999999999</v>
          </cell>
        </row>
        <row r="300">
          <cell r="A300">
            <v>24510272003</v>
          </cell>
          <cell r="B300" t="str">
            <v>Baltimore, MD</v>
          </cell>
          <cell r="C300">
            <v>0.14219999999999999</v>
          </cell>
        </row>
        <row r="301">
          <cell r="A301">
            <v>24027601204</v>
          </cell>
          <cell r="B301" t="str">
            <v>Elkridge, MD</v>
          </cell>
          <cell r="C301">
            <v>0.14030000000000001</v>
          </cell>
        </row>
        <row r="302">
          <cell r="A302">
            <v>24005402509</v>
          </cell>
          <cell r="B302" t="str">
            <v>Owings Mills, MD</v>
          </cell>
          <cell r="C302">
            <v>0.13719999999999999</v>
          </cell>
        </row>
        <row r="303">
          <cell r="A303">
            <v>24005411407</v>
          </cell>
          <cell r="B303" t="str">
            <v>Parkville, MD</v>
          </cell>
          <cell r="C303">
            <v>0.13519999999999999</v>
          </cell>
        </row>
        <row r="304">
          <cell r="A304">
            <v>24005440300</v>
          </cell>
          <cell r="B304" t="str">
            <v>Nottingham, MD</v>
          </cell>
          <cell r="C304">
            <v>0.1343</v>
          </cell>
        </row>
        <row r="305">
          <cell r="A305">
            <v>24005450900</v>
          </cell>
          <cell r="B305" t="str">
            <v>Essex, MD</v>
          </cell>
          <cell r="C305">
            <v>0.13320000000000001</v>
          </cell>
        </row>
        <row r="306">
          <cell r="A306">
            <v>24005411302</v>
          </cell>
          <cell r="B306" t="str">
            <v>White Marsh, MD</v>
          </cell>
          <cell r="C306">
            <v>0.13139999999999999</v>
          </cell>
        </row>
        <row r="307">
          <cell r="A307">
            <v>24005402202</v>
          </cell>
          <cell r="B307" t="str">
            <v>Baltimore County, MD</v>
          </cell>
          <cell r="C307">
            <v>0.129</v>
          </cell>
        </row>
        <row r="308">
          <cell r="A308">
            <v>24005441101</v>
          </cell>
          <cell r="B308" t="str">
            <v>Rosedale, MD</v>
          </cell>
          <cell r="C308">
            <v>0.12809999999999999</v>
          </cell>
        </row>
        <row r="309">
          <cell r="A309">
            <v>24005430700</v>
          </cell>
          <cell r="B309" t="str">
            <v>Halethorpe, MD</v>
          </cell>
          <cell r="C309">
            <v>0.12709999999999999</v>
          </cell>
        </row>
        <row r="310">
          <cell r="A310">
            <v>24510270703</v>
          </cell>
          <cell r="B310" t="str">
            <v>North Harford Road, Baltimore, MD</v>
          </cell>
          <cell r="C310">
            <v>0.125</v>
          </cell>
        </row>
        <row r="311">
          <cell r="A311">
            <v>24005450300</v>
          </cell>
          <cell r="B311" t="str">
            <v>Essex, MD</v>
          </cell>
          <cell r="C311">
            <v>0.1237</v>
          </cell>
        </row>
        <row r="312">
          <cell r="A312">
            <v>24003750804</v>
          </cell>
          <cell r="B312" t="str">
            <v>Glen Burnie, MD</v>
          </cell>
          <cell r="C312">
            <v>0.1231</v>
          </cell>
        </row>
        <row r="313">
          <cell r="A313">
            <v>24005491300</v>
          </cell>
          <cell r="B313" t="str">
            <v>Baltimore, MD</v>
          </cell>
          <cell r="C313">
            <v>0.1215</v>
          </cell>
        </row>
        <row r="314">
          <cell r="A314">
            <v>24005492101</v>
          </cell>
          <cell r="B314" t="str">
            <v>Parkville, MD</v>
          </cell>
          <cell r="C314">
            <v>0.12089999999999999</v>
          </cell>
        </row>
        <row r="315">
          <cell r="A315">
            <v>24005403401</v>
          </cell>
          <cell r="B315" t="str">
            <v>Pikesville, MD</v>
          </cell>
          <cell r="C315">
            <v>0.11899999999999999</v>
          </cell>
        </row>
        <row r="316">
          <cell r="A316">
            <v>24005411408</v>
          </cell>
          <cell r="B316" t="str">
            <v>Nottingham, MD</v>
          </cell>
          <cell r="C316">
            <v>0.11799999999999999</v>
          </cell>
        </row>
        <row r="317">
          <cell r="A317">
            <v>24003751200</v>
          </cell>
          <cell r="B317" t="str">
            <v>Linthicum Heights, MD</v>
          </cell>
          <cell r="C317">
            <v>0.1149</v>
          </cell>
        </row>
        <row r="318">
          <cell r="A318">
            <v>24027601107</v>
          </cell>
          <cell r="B318" t="str">
            <v>Waterloo, Elkridge, MD</v>
          </cell>
          <cell r="C318">
            <v>0.1143</v>
          </cell>
        </row>
        <row r="319">
          <cell r="A319">
            <v>24005411306</v>
          </cell>
          <cell r="B319" t="str">
            <v>Nottingham, MD</v>
          </cell>
          <cell r="C319">
            <v>0.114</v>
          </cell>
        </row>
        <row r="320">
          <cell r="A320">
            <v>24005440200</v>
          </cell>
          <cell r="B320" t="str">
            <v>Nottingham, MD</v>
          </cell>
          <cell r="C320">
            <v>0.1123</v>
          </cell>
        </row>
        <row r="321">
          <cell r="A321">
            <v>24005420200</v>
          </cell>
          <cell r="B321" t="str">
            <v>Dundalk, MD</v>
          </cell>
          <cell r="C321">
            <v>0.1114</v>
          </cell>
        </row>
        <row r="322">
          <cell r="A322">
            <v>24005400100</v>
          </cell>
          <cell r="B322" t="str">
            <v>Catonsville, MD</v>
          </cell>
          <cell r="C322">
            <v>0.1113</v>
          </cell>
        </row>
        <row r="323">
          <cell r="A323">
            <v>24005440600</v>
          </cell>
          <cell r="B323" t="str">
            <v>Rosedale, MD</v>
          </cell>
          <cell r="C323">
            <v>0.1082</v>
          </cell>
        </row>
        <row r="324">
          <cell r="A324">
            <v>24027602900</v>
          </cell>
          <cell r="B324" t="str">
            <v>Normandy, Ellicott City, MD</v>
          </cell>
          <cell r="C324">
            <v>0.107</v>
          </cell>
        </row>
        <row r="325">
          <cell r="A325">
            <v>24005400200</v>
          </cell>
          <cell r="B325" t="str">
            <v>Catonsville, MD</v>
          </cell>
          <cell r="C325">
            <v>0.10489999999999999</v>
          </cell>
        </row>
        <row r="326">
          <cell r="A326">
            <v>24027601201</v>
          </cell>
          <cell r="B326" t="str">
            <v>Elkridge, MD</v>
          </cell>
          <cell r="C326">
            <v>0.1003</v>
          </cell>
        </row>
        <row r="327">
          <cell r="A327">
            <v>24005451701</v>
          </cell>
          <cell r="B327" t="str">
            <v>Middle River, MD</v>
          </cell>
          <cell r="C327">
            <v>9.7699999999999995E-2</v>
          </cell>
        </row>
        <row r="328">
          <cell r="A328">
            <v>24003750400</v>
          </cell>
          <cell r="B328" t="str">
            <v>Linthicum Heights, MD</v>
          </cell>
          <cell r="C328">
            <v>9.6500000000000002E-2</v>
          </cell>
        </row>
        <row r="329">
          <cell r="A329">
            <v>24005492001</v>
          </cell>
          <cell r="B329" t="str">
            <v>Parkville, MD</v>
          </cell>
          <cell r="C329">
            <v>9.6000000000000002E-2</v>
          </cell>
        </row>
        <row r="330">
          <cell r="A330">
            <v>24510271102</v>
          </cell>
          <cell r="B330" t="str">
            <v>Mid-Charles, Baltimore, MD</v>
          </cell>
          <cell r="C330">
            <v>9.3299999999999994E-2</v>
          </cell>
        </row>
        <row r="331">
          <cell r="A331">
            <v>24005411307</v>
          </cell>
          <cell r="B331" t="str">
            <v>Nottingham, MD</v>
          </cell>
          <cell r="C331">
            <v>9.2100000000000001E-2</v>
          </cell>
        </row>
        <row r="332">
          <cell r="A332">
            <v>24005491100</v>
          </cell>
          <cell r="B332" t="str">
            <v>Baltimore, MD</v>
          </cell>
          <cell r="C332">
            <v>9.06E-2</v>
          </cell>
        </row>
        <row r="333">
          <cell r="A333">
            <v>24005400600</v>
          </cell>
          <cell r="B333" t="str">
            <v>Catonsville, MD</v>
          </cell>
          <cell r="C333">
            <v>9.0399999999999994E-2</v>
          </cell>
        </row>
        <row r="334">
          <cell r="A334">
            <v>24510120202</v>
          </cell>
          <cell r="B334" t="str">
            <v>Baltimore, MD</v>
          </cell>
          <cell r="C334">
            <v>8.8099999999999998E-2</v>
          </cell>
        </row>
        <row r="335">
          <cell r="A335">
            <v>24027601105</v>
          </cell>
          <cell r="B335" t="str">
            <v>Ellicott City, MD</v>
          </cell>
          <cell r="C335">
            <v>8.6599999999999996E-2</v>
          </cell>
        </row>
        <row r="336">
          <cell r="A336">
            <v>24005403701</v>
          </cell>
          <cell r="B336" t="str">
            <v>Owings Mills, MD</v>
          </cell>
          <cell r="C336">
            <v>8.1199999999999994E-2</v>
          </cell>
        </row>
        <row r="337">
          <cell r="A337">
            <v>24027601103</v>
          </cell>
          <cell r="B337" t="str">
            <v>West Elkridge, Elkridge, MD</v>
          </cell>
          <cell r="C337">
            <v>7.7399999999999997E-2</v>
          </cell>
        </row>
        <row r="338">
          <cell r="A338">
            <v>24027602600</v>
          </cell>
          <cell r="B338" t="str">
            <v>Ellicott City, MD</v>
          </cell>
          <cell r="C338">
            <v>7.7399999999999997E-2</v>
          </cell>
        </row>
        <row r="339">
          <cell r="A339">
            <v>24027601108</v>
          </cell>
          <cell r="B339" t="str">
            <v>Ellicott City, MD</v>
          </cell>
          <cell r="C339">
            <v>7.7200000000000005E-2</v>
          </cell>
        </row>
        <row r="340">
          <cell r="A340">
            <v>24005401503</v>
          </cell>
          <cell r="B340" t="str">
            <v>Catonsville, MD</v>
          </cell>
          <cell r="C340">
            <v>7.4700000000000003E-2</v>
          </cell>
        </row>
        <row r="341">
          <cell r="A341">
            <v>24005440100</v>
          </cell>
          <cell r="B341" t="str">
            <v>Baltimore, MD</v>
          </cell>
          <cell r="C341">
            <v>7.4200000000000002E-2</v>
          </cell>
        </row>
        <row r="342">
          <cell r="A342">
            <v>24005401504</v>
          </cell>
          <cell r="B342" t="str">
            <v>Catonsville, MD</v>
          </cell>
          <cell r="C342">
            <v>7.2400000000000006E-2</v>
          </cell>
        </row>
        <row r="343">
          <cell r="A343">
            <v>24005430600</v>
          </cell>
          <cell r="B343" t="str">
            <v>Relay, Halethorpe, MD</v>
          </cell>
          <cell r="C343">
            <v>7.2300000000000003E-2</v>
          </cell>
        </row>
        <row r="344">
          <cell r="A344">
            <v>24005401000</v>
          </cell>
          <cell r="B344" t="str">
            <v>Catonsville, MD</v>
          </cell>
          <cell r="C344">
            <v>7.0699999999999999E-2</v>
          </cell>
        </row>
        <row r="345">
          <cell r="A345">
            <v>24027606706</v>
          </cell>
          <cell r="B345" t="str">
            <v>Kendall Ridge, Columbia, MD</v>
          </cell>
          <cell r="C345">
            <v>6.9000000000000006E-2</v>
          </cell>
        </row>
        <row r="346">
          <cell r="A346">
            <v>24005403702</v>
          </cell>
          <cell r="B346" t="str">
            <v>Pikesville, MD</v>
          </cell>
          <cell r="C346">
            <v>6.7799999999999999E-2</v>
          </cell>
        </row>
        <row r="347">
          <cell r="A347">
            <v>24027602800</v>
          </cell>
          <cell r="B347" t="str">
            <v>Ellicott City, MD</v>
          </cell>
          <cell r="C347">
            <v>6.6699999999999995E-2</v>
          </cell>
        </row>
        <row r="348">
          <cell r="A348">
            <v>24510272005</v>
          </cell>
          <cell r="B348" t="str">
            <v>Cross Country, Baltimore, MD</v>
          </cell>
          <cell r="C348">
            <v>5.8500000000000003E-2</v>
          </cell>
        </row>
        <row r="349">
          <cell r="A349">
            <v>24027602700</v>
          </cell>
          <cell r="B349" t="str">
            <v>Taylor Village, Ellicott City, MD</v>
          </cell>
          <cell r="C349">
            <v>5.7700000000000001E-2</v>
          </cell>
        </row>
        <row r="350">
          <cell r="A350">
            <v>24005411308</v>
          </cell>
          <cell r="B350" t="str">
            <v>Nottingham, MD</v>
          </cell>
          <cell r="C350">
            <v>5.5399999999999998E-2</v>
          </cell>
        </row>
        <row r="351">
          <cell r="A351">
            <v>24005401400</v>
          </cell>
          <cell r="B351" t="str">
            <v>Catonsville, MD</v>
          </cell>
          <cell r="C351">
            <v>5.1299999999999998E-2</v>
          </cell>
        </row>
        <row r="352">
          <cell r="A352">
            <v>24005400400</v>
          </cell>
          <cell r="B352" t="str">
            <v>Catonsville, MD</v>
          </cell>
          <cell r="C352">
            <v>4.9200000000000001E-2</v>
          </cell>
        </row>
        <row r="353">
          <cell r="A353">
            <v>24510272004</v>
          </cell>
          <cell r="B353" t="str">
            <v>Cheswolde, Baltimore, MD</v>
          </cell>
          <cell r="C353">
            <v>4.3700000000000003E-2</v>
          </cell>
        </row>
        <row r="354">
          <cell r="A354">
            <v>24005490800</v>
          </cell>
          <cell r="B354" t="str">
            <v>Towson, MD</v>
          </cell>
          <cell r="C354">
            <v>4.2700000000000002E-2</v>
          </cell>
        </row>
        <row r="355">
          <cell r="A355">
            <v>24027601104</v>
          </cell>
          <cell r="B355" t="str">
            <v>Ellicott City, MD</v>
          </cell>
          <cell r="C355">
            <v>4.1300000000000003E-2</v>
          </cell>
        </row>
        <row r="356">
          <cell r="A356">
            <v>24005490400</v>
          </cell>
          <cell r="B356" t="str">
            <v>Towson, MD</v>
          </cell>
          <cell r="C356">
            <v>3.73E-2</v>
          </cell>
        </row>
        <row r="357">
          <cell r="A357">
            <v>24005491202</v>
          </cell>
          <cell r="B357" t="str">
            <v>Towson, MD</v>
          </cell>
          <cell r="C357">
            <v>3.5999999999999997E-2</v>
          </cell>
        </row>
        <row r="358">
          <cell r="A358">
            <v>24005490602</v>
          </cell>
          <cell r="B358" t="str">
            <v>Baltimore, MD</v>
          </cell>
          <cell r="C358">
            <v>3.5799999999999998E-2</v>
          </cell>
        </row>
        <row r="359">
          <cell r="A359">
            <v>24005403602</v>
          </cell>
          <cell r="B359" t="str">
            <v>Baltimore, MD</v>
          </cell>
          <cell r="C359">
            <v>3.1600000000000003E-2</v>
          </cell>
        </row>
        <row r="360">
          <cell r="A360">
            <v>24005400500</v>
          </cell>
          <cell r="B360" t="str">
            <v>Catonsville, MD</v>
          </cell>
          <cell r="C360">
            <v>3.1199999999999999E-2</v>
          </cell>
        </row>
        <row r="361">
          <cell r="A361">
            <v>24027602100</v>
          </cell>
          <cell r="B361" t="str">
            <v>Ellicott City, MD</v>
          </cell>
          <cell r="C361">
            <v>2.63E-2</v>
          </cell>
        </row>
        <row r="362">
          <cell r="A362">
            <v>24005403500</v>
          </cell>
          <cell r="B362" t="str">
            <v>Pikesville, MD</v>
          </cell>
          <cell r="C362">
            <v>2.5399999999999999E-2</v>
          </cell>
        </row>
        <row r="363">
          <cell r="A363">
            <v>24510271200</v>
          </cell>
          <cell r="B363" t="str">
            <v>Homeland, Baltimore, MD</v>
          </cell>
          <cell r="C363">
            <v>2.5100000000000001E-2</v>
          </cell>
        </row>
        <row r="364">
          <cell r="A364">
            <v>24510271400</v>
          </cell>
          <cell r="B364" t="str">
            <v>Evergreen, Baltimore, MD</v>
          </cell>
          <cell r="C364">
            <v>1.7899999999999999E-2</v>
          </cell>
        </row>
        <row r="365">
          <cell r="A365">
            <v>24005490500</v>
          </cell>
          <cell r="B365" t="str">
            <v>Towson, MD</v>
          </cell>
          <cell r="C365">
            <v>1.67E-2</v>
          </cell>
        </row>
        <row r="366">
          <cell r="A366">
            <v>24510120100</v>
          </cell>
          <cell r="B366" t="str">
            <v>Tuscany - Canterbury, Baltimore, MD</v>
          </cell>
          <cell r="C366">
            <v>1.66E-2</v>
          </cell>
        </row>
        <row r="367">
          <cell r="A367">
            <v>24510271300</v>
          </cell>
          <cell r="B367" t="str">
            <v>Roland Park, Baltimore, MD</v>
          </cell>
          <cell r="C367">
            <v>1.0800000000000001E-2</v>
          </cell>
        </row>
        <row r="368">
          <cell r="A368">
            <v>24005490601</v>
          </cell>
          <cell r="B368" t="str">
            <v>Baltimore, MD</v>
          </cell>
          <cell r="C368">
            <v>0.01</v>
          </cell>
        </row>
        <row r="369">
          <cell r="A369">
            <v>24510271501</v>
          </cell>
          <cell r="B369" t="str">
            <v>Mount Washington, Baltimore, MD</v>
          </cell>
          <cell r="C369">
            <v>9.7999999999999997E-3</v>
          </cell>
        </row>
        <row r="370">
          <cell r="A370">
            <v>24005490603</v>
          </cell>
          <cell r="B370" t="str">
            <v>Baltimore, MD</v>
          </cell>
          <cell r="C370">
            <v>7.4999999999999997E-3</v>
          </cell>
        </row>
        <row r="371">
          <cell r="A371">
            <v>24005403601</v>
          </cell>
          <cell r="B371" t="str">
            <v>Baltimore, MD</v>
          </cell>
          <cell r="C371">
            <v>6.3E-3</v>
          </cell>
        </row>
        <row r="372">
          <cell r="A372">
            <v>24005403803</v>
          </cell>
          <cell r="B372" t="str">
            <v>Pikesville, MD</v>
          </cell>
          <cell r="C372">
            <v>5.1999999999999998E-3</v>
          </cell>
        </row>
        <row r="373">
          <cell r="A373">
            <v>24005491000</v>
          </cell>
          <cell r="B373" t="str">
            <v>Baltimore, MD</v>
          </cell>
          <cell r="C373">
            <v>0</v>
          </cell>
        </row>
        <row r="374">
          <cell r="A374">
            <v>24005492500</v>
          </cell>
          <cell r="B374" t="str">
            <v>Baltimore, MD</v>
          </cell>
        </row>
        <row r="375">
          <cell r="A375">
            <v>24005490605</v>
          </cell>
          <cell r="B375" t="str">
            <v>Towson, MD</v>
          </cell>
        </row>
        <row r="376">
          <cell r="A376">
            <v>24005980200</v>
          </cell>
          <cell r="B376" t="str">
            <v>Lansdowne - Baltimore Highlands, Halethorpe, MD</v>
          </cell>
        </row>
        <row r="377">
          <cell r="A377">
            <v>24510100300</v>
          </cell>
          <cell r="B377" t="str">
            <v>Penn - Fallsway, Baltimore, MD</v>
          </cell>
        </row>
        <row r="378">
          <cell r="A378">
            <v>24003980000</v>
          </cell>
          <cell r="B378" t="str">
            <v>Linthicum Heights, MD</v>
          </cell>
        </row>
      </sheetData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own_tract_married_rP_gF_pall"/>
    </sheetNames>
    <sheetDataSet>
      <sheetData sheetId="0" refreshError="1">
        <row r="2">
          <cell r="A2">
            <v>24005403601</v>
          </cell>
          <cell r="B2" t="str">
            <v>Baltimore, MD</v>
          </cell>
          <cell r="C2">
            <v>0.68030000000000002</v>
          </cell>
        </row>
        <row r="3">
          <cell r="A3">
            <v>24510272005</v>
          </cell>
          <cell r="B3" t="str">
            <v>Cross Country, Baltimore, MD</v>
          </cell>
          <cell r="C3">
            <v>0.67430000000000001</v>
          </cell>
        </row>
        <row r="4">
          <cell r="A4">
            <v>24005491202</v>
          </cell>
          <cell r="B4" t="str">
            <v>Towson, MD</v>
          </cell>
          <cell r="C4">
            <v>0.66669999999999996</v>
          </cell>
        </row>
        <row r="5">
          <cell r="A5">
            <v>24005451702</v>
          </cell>
          <cell r="B5" t="str">
            <v>Middle River, MD</v>
          </cell>
          <cell r="C5">
            <v>0.64959999999999996</v>
          </cell>
        </row>
        <row r="6">
          <cell r="A6">
            <v>24027601104</v>
          </cell>
          <cell r="B6" t="str">
            <v>Ellicott City, MD</v>
          </cell>
          <cell r="C6">
            <v>0.6482</v>
          </cell>
        </row>
        <row r="7">
          <cell r="A7">
            <v>24005403803</v>
          </cell>
          <cell r="B7" t="str">
            <v>Pikesville, MD</v>
          </cell>
          <cell r="C7">
            <v>0.64590000000000003</v>
          </cell>
        </row>
        <row r="8">
          <cell r="A8">
            <v>24027602100</v>
          </cell>
          <cell r="B8" t="str">
            <v>Ellicott City, MD</v>
          </cell>
          <cell r="C8">
            <v>0.64539999999999997</v>
          </cell>
        </row>
        <row r="9">
          <cell r="A9">
            <v>24005490800</v>
          </cell>
          <cell r="B9" t="str">
            <v>Towson, MD</v>
          </cell>
          <cell r="C9">
            <v>0.64510000000000001</v>
          </cell>
        </row>
        <row r="10">
          <cell r="A10">
            <v>24005430600</v>
          </cell>
          <cell r="B10" t="str">
            <v>Relay, Halethorpe, MD</v>
          </cell>
          <cell r="C10">
            <v>0.64449999999999996</v>
          </cell>
        </row>
        <row r="11">
          <cell r="A11">
            <v>24005400500</v>
          </cell>
          <cell r="B11" t="str">
            <v>Catonsville, MD</v>
          </cell>
          <cell r="C11">
            <v>0.62990000000000002</v>
          </cell>
        </row>
        <row r="12">
          <cell r="A12">
            <v>24005403500</v>
          </cell>
          <cell r="B12" t="str">
            <v>Pikesville, MD</v>
          </cell>
          <cell r="C12">
            <v>0.62260000000000004</v>
          </cell>
        </row>
        <row r="13">
          <cell r="A13">
            <v>24510271300</v>
          </cell>
          <cell r="B13" t="str">
            <v>Roland Park, Baltimore, MD</v>
          </cell>
          <cell r="C13">
            <v>0.62260000000000004</v>
          </cell>
        </row>
        <row r="14">
          <cell r="A14">
            <v>24510271400</v>
          </cell>
          <cell r="B14" t="str">
            <v>Evergreen, Baltimore, MD</v>
          </cell>
          <cell r="C14">
            <v>0.61580000000000001</v>
          </cell>
        </row>
        <row r="15">
          <cell r="A15">
            <v>24005411308</v>
          </cell>
          <cell r="B15" t="str">
            <v>Nottingham, MD</v>
          </cell>
          <cell r="C15">
            <v>0.61050000000000004</v>
          </cell>
        </row>
        <row r="16">
          <cell r="A16">
            <v>24005490500</v>
          </cell>
          <cell r="B16" t="str">
            <v>Towson, MD</v>
          </cell>
          <cell r="C16">
            <v>0.60960000000000003</v>
          </cell>
        </row>
        <row r="17">
          <cell r="A17">
            <v>24027602700</v>
          </cell>
          <cell r="B17" t="str">
            <v>Taylor Village, Ellicott City, MD</v>
          </cell>
          <cell r="C17">
            <v>0.60399999999999998</v>
          </cell>
        </row>
        <row r="18">
          <cell r="A18">
            <v>24003750400</v>
          </cell>
          <cell r="B18" t="str">
            <v>Linthicum Heights, MD</v>
          </cell>
          <cell r="C18">
            <v>0.59689999999999999</v>
          </cell>
        </row>
        <row r="19">
          <cell r="A19">
            <v>24510272004</v>
          </cell>
          <cell r="B19" t="str">
            <v>Cheswolde, Baltimore, MD</v>
          </cell>
          <cell r="C19">
            <v>0.59470000000000001</v>
          </cell>
        </row>
        <row r="20">
          <cell r="A20">
            <v>24005401400</v>
          </cell>
          <cell r="B20" t="str">
            <v>Catonsville, MD</v>
          </cell>
          <cell r="C20">
            <v>0.59179999999999999</v>
          </cell>
        </row>
        <row r="21">
          <cell r="A21">
            <v>24003751200</v>
          </cell>
          <cell r="B21" t="str">
            <v>Linthicum Heights, MD</v>
          </cell>
          <cell r="C21">
            <v>0.59060000000000001</v>
          </cell>
        </row>
        <row r="22">
          <cell r="A22">
            <v>24005492002</v>
          </cell>
          <cell r="B22" t="str">
            <v>Parkville, MD</v>
          </cell>
          <cell r="C22">
            <v>0.58440000000000003</v>
          </cell>
        </row>
        <row r="23">
          <cell r="A23">
            <v>24005420303</v>
          </cell>
          <cell r="B23" t="str">
            <v>Dundalk, MD</v>
          </cell>
          <cell r="C23">
            <v>0.58289999999999997</v>
          </cell>
        </row>
        <row r="24">
          <cell r="A24">
            <v>24005440100</v>
          </cell>
          <cell r="B24" t="str">
            <v>Baltimore, MD</v>
          </cell>
          <cell r="C24">
            <v>0.57830000000000004</v>
          </cell>
        </row>
        <row r="25">
          <cell r="A25">
            <v>24005411306</v>
          </cell>
          <cell r="B25" t="str">
            <v>Nottingham, MD</v>
          </cell>
          <cell r="C25">
            <v>0.57720000000000005</v>
          </cell>
        </row>
        <row r="26">
          <cell r="A26">
            <v>24027602800</v>
          </cell>
          <cell r="B26" t="str">
            <v>Ellicott City, MD</v>
          </cell>
          <cell r="C26">
            <v>0.57689999999999997</v>
          </cell>
        </row>
        <row r="27">
          <cell r="A27">
            <v>24005491100</v>
          </cell>
          <cell r="B27" t="str">
            <v>Baltimore, MD</v>
          </cell>
          <cell r="C27">
            <v>0.57589999999999997</v>
          </cell>
        </row>
        <row r="28">
          <cell r="A28">
            <v>24005451802</v>
          </cell>
          <cell r="B28" t="str">
            <v>Middle River, MD</v>
          </cell>
          <cell r="C28">
            <v>0.57569999999999999</v>
          </cell>
        </row>
        <row r="29">
          <cell r="A29">
            <v>24005490602</v>
          </cell>
          <cell r="B29" t="str">
            <v>Baltimore, MD</v>
          </cell>
          <cell r="C29">
            <v>0.57530000000000003</v>
          </cell>
        </row>
        <row r="30">
          <cell r="A30">
            <v>24005440200</v>
          </cell>
          <cell r="B30" t="str">
            <v>Nottingham, MD</v>
          </cell>
          <cell r="C30">
            <v>0.57520000000000004</v>
          </cell>
        </row>
        <row r="31">
          <cell r="A31">
            <v>24510271102</v>
          </cell>
          <cell r="B31" t="str">
            <v>Mid-Charles, Baltimore, MD</v>
          </cell>
          <cell r="C31">
            <v>0.57050000000000001</v>
          </cell>
        </row>
        <row r="32">
          <cell r="A32">
            <v>24005492001</v>
          </cell>
          <cell r="B32" t="str">
            <v>Parkville, MD</v>
          </cell>
          <cell r="C32">
            <v>0.56950000000000001</v>
          </cell>
        </row>
        <row r="33">
          <cell r="A33">
            <v>24510270501</v>
          </cell>
          <cell r="B33" t="str">
            <v>Woodring, Baltimore, MD</v>
          </cell>
          <cell r="C33">
            <v>0.56330000000000002</v>
          </cell>
        </row>
        <row r="34">
          <cell r="A34">
            <v>24005400400</v>
          </cell>
          <cell r="B34" t="str">
            <v>Catonsville, MD</v>
          </cell>
          <cell r="C34">
            <v>0.56279999999999997</v>
          </cell>
        </row>
        <row r="35">
          <cell r="A35">
            <v>24005401503</v>
          </cell>
          <cell r="B35" t="str">
            <v>Catonsville, MD</v>
          </cell>
          <cell r="C35">
            <v>0.56189999999999996</v>
          </cell>
        </row>
        <row r="36">
          <cell r="A36">
            <v>24005490603</v>
          </cell>
          <cell r="B36" t="str">
            <v>Baltimore, MD</v>
          </cell>
          <cell r="C36">
            <v>0.55600000000000005</v>
          </cell>
        </row>
        <row r="37">
          <cell r="A37">
            <v>24005411302</v>
          </cell>
          <cell r="B37" t="str">
            <v>White Marsh, MD</v>
          </cell>
          <cell r="C37">
            <v>0.55500000000000005</v>
          </cell>
        </row>
        <row r="38">
          <cell r="A38">
            <v>24005430400</v>
          </cell>
          <cell r="B38" t="str">
            <v>Halethorpe, MD</v>
          </cell>
          <cell r="C38">
            <v>0.55430000000000001</v>
          </cell>
        </row>
        <row r="39">
          <cell r="A39">
            <v>24510271200</v>
          </cell>
          <cell r="B39" t="str">
            <v>Homeland, Baltimore, MD</v>
          </cell>
          <cell r="C39">
            <v>0.55079999999999996</v>
          </cell>
        </row>
        <row r="40">
          <cell r="A40">
            <v>24005451701</v>
          </cell>
          <cell r="B40" t="str">
            <v>Middle River, MD</v>
          </cell>
          <cell r="C40">
            <v>0.55010000000000003</v>
          </cell>
        </row>
        <row r="41">
          <cell r="A41">
            <v>24005403602</v>
          </cell>
          <cell r="B41" t="str">
            <v>Baltimore, MD</v>
          </cell>
          <cell r="C41">
            <v>0.55000000000000004</v>
          </cell>
        </row>
        <row r="42">
          <cell r="A42">
            <v>24003750202</v>
          </cell>
          <cell r="B42" t="str">
            <v>Brooklyn Park, MD</v>
          </cell>
          <cell r="C42">
            <v>0.54630000000000001</v>
          </cell>
        </row>
        <row r="43">
          <cell r="A43">
            <v>24005490601</v>
          </cell>
          <cell r="B43" t="str">
            <v>Baltimore, MD</v>
          </cell>
          <cell r="C43">
            <v>0.54620000000000002</v>
          </cell>
        </row>
        <row r="44">
          <cell r="A44">
            <v>24005492101</v>
          </cell>
          <cell r="B44" t="str">
            <v>Parkville, MD</v>
          </cell>
          <cell r="C44">
            <v>0.5444</v>
          </cell>
        </row>
        <row r="45">
          <cell r="A45">
            <v>24027602900</v>
          </cell>
          <cell r="B45" t="str">
            <v>Normandy, Ellicott City, MD</v>
          </cell>
          <cell r="C45">
            <v>0.54139999999999999</v>
          </cell>
        </row>
        <row r="46">
          <cell r="A46">
            <v>24027601201</v>
          </cell>
          <cell r="B46" t="str">
            <v>Elkridge, MD</v>
          </cell>
          <cell r="C46">
            <v>0.54110000000000003</v>
          </cell>
        </row>
        <row r="47">
          <cell r="A47">
            <v>24005491000</v>
          </cell>
          <cell r="B47" t="str">
            <v>Baltimore, MD</v>
          </cell>
          <cell r="C47">
            <v>0.53920000000000001</v>
          </cell>
        </row>
        <row r="48">
          <cell r="A48">
            <v>24005420702</v>
          </cell>
          <cell r="B48" t="str">
            <v>Dundalk, MD</v>
          </cell>
          <cell r="C48">
            <v>0.53849999999999998</v>
          </cell>
        </row>
        <row r="49">
          <cell r="A49">
            <v>24027601103</v>
          </cell>
          <cell r="B49" t="str">
            <v>West Elkridge, Elkridge, MD</v>
          </cell>
          <cell r="C49">
            <v>0.53769999999999996</v>
          </cell>
        </row>
        <row r="50">
          <cell r="A50">
            <v>24510271501</v>
          </cell>
          <cell r="B50" t="str">
            <v>Mount Washington, Baltimore, MD</v>
          </cell>
          <cell r="C50">
            <v>0.53690000000000004</v>
          </cell>
        </row>
        <row r="51">
          <cell r="A51">
            <v>24005492102</v>
          </cell>
          <cell r="B51" t="str">
            <v>Parkville, MD</v>
          </cell>
          <cell r="C51">
            <v>0.53569999999999995</v>
          </cell>
        </row>
        <row r="52">
          <cell r="A52">
            <v>24027601108</v>
          </cell>
          <cell r="B52" t="str">
            <v>Ellicott City, MD</v>
          </cell>
          <cell r="C52">
            <v>0.53300000000000003</v>
          </cell>
        </row>
        <row r="53">
          <cell r="A53">
            <v>24005420100</v>
          </cell>
          <cell r="B53" t="str">
            <v>Dundalk, MD</v>
          </cell>
          <cell r="C53">
            <v>0.53249999999999997</v>
          </cell>
        </row>
        <row r="54">
          <cell r="A54">
            <v>24005411408</v>
          </cell>
          <cell r="B54" t="str">
            <v>Nottingham, MD</v>
          </cell>
          <cell r="C54">
            <v>0.53190000000000004</v>
          </cell>
        </row>
        <row r="55">
          <cell r="A55">
            <v>24005403702</v>
          </cell>
          <cell r="B55" t="str">
            <v>Pikesville, MD</v>
          </cell>
          <cell r="C55">
            <v>0.53139999999999998</v>
          </cell>
        </row>
        <row r="56">
          <cell r="A56">
            <v>24027601204</v>
          </cell>
          <cell r="B56" t="str">
            <v>Elkridge, MD</v>
          </cell>
          <cell r="C56">
            <v>0.53100000000000003</v>
          </cell>
        </row>
        <row r="57">
          <cell r="A57">
            <v>24005411307</v>
          </cell>
          <cell r="B57" t="str">
            <v>Nottingham, MD</v>
          </cell>
          <cell r="C57">
            <v>0.53039999999999998</v>
          </cell>
        </row>
        <row r="58">
          <cell r="A58">
            <v>24027601105</v>
          </cell>
          <cell r="B58" t="str">
            <v>Ellicott City, MD</v>
          </cell>
          <cell r="C58">
            <v>0.52959999999999996</v>
          </cell>
        </row>
        <row r="59">
          <cell r="A59">
            <v>24005400100</v>
          </cell>
          <cell r="B59" t="str">
            <v>Catonsville, MD</v>
          </cell>
          <cell r="C59">
            <v>0.52490000000000003</v>
          </cell>
        </row>
        <row r="60">
          <cell r="A60">
            <v>24005440500</v>
          </cell>
          <cell r="B60" t="str">
            <v>Nottingham, MD</v>
          </cell>
          <cell r="C60">
            <v>0.52349999999999997</v>
          </cell>
        </row>
        <row r="61">
          <cell r="A61">
            <v>24005452500</v>
          </cell>
          <cell r="B61" t="str">
            <v>Dundalk, MD</v>
          </cell>
          <cell r="C61">
            <v>0.52280000000000004</v>
          </cell>
        </row>
        <row r="62">
          <cell r="A62">
            <v>24005440400</v>
          </cell>
          <cell r="B62" t="str">
            <v>Baltimore, MD</v>
          </cell>
          <cell r="C62">
            <v>0.52249999999999996</v>
          </cell>
        </row>
        <row r="63">
          <cell r="A63">
            <v>24005401504</v>
          </cell>
          <cell r="B63" t="str">
            <v>Catonsville, MD</v>
          </cell>
          <cell r="C63">
            <v>0.52149999999999996</v>
          </cell>
        </row>
        <row r="64">
          <cell r="A64">
            <v>24003750801</v>
          </cell>
          <cell r="B64" t="str">
            <v>Glen Burnie, MD</v>
          </cell>
          <cell r="C64">
            <v>0.52100000000000002</v>
          </cell>
        </row>
        <row r="65">
          <cell r="A65">
            <v>24005490400</v>
          </cell>
          <cell r="B65" t="str">
            <v>Towson, MD</v>
          </cell>
          <cell r="C65">
            <v>0.51870000000000005</v>
          </cell>
        </row>
        <row r="66">
          <cell r="A66">
            <v>24005440800</v>
          </cell>
          <cell r="B66" t="str">
            <v>Rosedale, MD</v>
          </cell>
          <cell r="C66">
            <v>0.51790000000000003</v>
          </cell>
        </row>
        <row r="67">
          <cell r="A67">
            <v>24003750804</v>
          </cell>
          <cell r="B67" t="str">
            <v>Glen Burnie, MD</v>
          </cell>
          <cell r="C67">
            <v>0.51739999999999997</v>
          </cell>
        </row>
        <row r="68">
          <cell r="A68">
            <v>24005401000</v>
          </cell>
          <cell r="B68" t="str">
            <v>Catonsville, MD</v>
          </cell>
          <cell r="C68">
            <v>0.51629999999999998</v>
          </cell>
        </row>
        <row r="69">
          <cell r="A69">
            <v>24005421200</v>
          </cell>
          <cell r="B69" t="str">
            <v>Dundalk, MD</v>
          </cell>
          <cell r="C69">
            <v>0.51570000000000005</v>
          </cell>
        </row>
        <row r="70">
          <cell r="A70">
            <v>24005411407</v>
          </cell>
          <cell r="B70" t="str">
            <v>Parkville, MD</v>
          </cell>
          <cell r="C70">
            <v>0.51380000000000003</v>
          </cell>
        </row>
        <row r="71">
          <cell r="A71">
            <v>24005403701</v>
          </cell>
          <cell r="B71" t="str">
            <v>Owings Mills, MD</v>
          </cell>
          <cell r="C71">
            <v>0.51080000000000003</v>
          </cell>
        </row>
        <row r="72">
          <cell r="A72">
            <v>24005420500</v>
          </cell>
          <cell r="B72" t="str">
            <v>Baltimore, MD</v>
          </cell>
          <cell r="C72">
            <v>0.50890000000000002</v>
          </cell>
        </row>
        <row r="73">
          <cell r="A73">
            <v>24005400702</v>
          </cell>
          <cell r="B73" t="str">
            <v>Baltimore, MD</v>
          </cell>
          <cell r="C73">
            <v>0.50790000000000002</v>
          </cell>
        </row>
        <row r="74">
          <cell r="A74">
            <v>24005440702</v>
          </cell>
          <cell r="B74" t="str">
            <v>Rosedale, MD</v>
          </cell>
          <cell r="C74">
            <v>0.50749999999999995</v>
          </cell>
        </row>
        <row r="75">
          <cell r="A75">
            <v>24027602600</v>
          </cell>
          <cell r="B75" t="str">
            <v>Ellicott City, MD</v>
          </cell>
          <cell r="C75">
            <v>0.50580000000000003</v>
          </cell>
        </row>
        <row r="76">
          <cell r="A76">
            <v>24005440600</v>
          </cell>
          <cell r="B76" t="str">
            <v>Rosedale, MD</v>
          </cell>
          <cell r="C76">
            <v>0.50449999999999995</v>
          </cell>
        </row>
        <row r="77">
          <cell r="A77">
            <v>24005430700</v>
          </cell>
          <cell r="B77" t="str">
            <v>Halethorpe, MD</v>
          </cell>
          <cell r="C77">
            <v>0.50390000000000001</v>
          </cell>
        </row>
        <row r="78">
          <cell r="A78">
            <v>24005452100</v>
          </cell>
          <cell r="B78" t="str">
            <v>Sparrows Point, MD</v>
          </cell>
          <cell r="C78">
            <v>0.50370000000000004</v>
          </cell>
        </row>
        <row r="79">
          <cell r="A79">
            <v>24510130804</v>
          </cell>
          <cell r="B79" t="str">
            <v>Hampden, Baltimore, MD</v>
          </cell>
          <cell r="C79">
            <v>0.50280000000000002</v>
          </cell>
        </row>
        <row r="80">
          <cell r="A80">
            <v>24005450400</v>
          </cell>
          <cell r="B80" t="str">
            <v>Essex, MD</v>
          </cell>
          <cell r="C80">
            <v>0.50049999999999994</v>
          </cell>
        </row>
        <row r="81">
          <cell r="A81">
            <v>24005450300</v>
          </cell>
          <cell r="B81" t="str">
            <v>Essex, MD</v>
          </cell>
          <cell r="C81">
            <v>0.4965</v>
          </cell>
        </row>
        <row r="82">
          <cell r="A82">
            <v>24005450900</v>
          </cell>
          <cell r="B82" t="str">
            <v>Essex, MD</v>
          </cell>
          <cell r="C82">
            <v>0.49630000000000002</v>
          </cell>
        </row>
        <row r="83">
          <cell r="A83">
            <v>24005451801</v>
          </cell>
          <cell r="B83" t="str">
            <v>Middle River, MD</v>
          </cell>
          <cell r="C83">
            <v>0.49399999999999999</v>
          </cell>
        </row>
        <row r="84">
          <cell r="A84">
            <v>24005452400</v>
          </cell>
          <cell r="B84" t="str">
            <v>Dundalk, MD</v>
          </cell>
          <cell r="C84">
            <v>0.49259999999999998</v>
          </cell>
        </row>
        <row r="85">
          <cell r="A85">
            <v>24003730100</v>
          </cell>
          <cell r="B85" t="str">
            <v>Chestnut Hill Cove, Riviera Beach, MD</v>
          </cell>
          <cell r="C85">
            <v>0.49199999999999999</v>
          </cell>
        </row>
        <row r="86">
          <cell r="A86">
            <v>24005451200</v>
          </cell>
          <cell r="B86" t="str">
            <v>Middle River, MD</v>
          </cell>
          <cell r="C86">
            <v>0.49109999999999998</v>
          </cell>
        </row>
        <row r="87">
          <cell r="A87">
            <v>24005441102</v>
          </cell>
          <cell r="B87" t="str">
            <v>Rosedale, MD</v>
          </cell>
          <cell r="C87">
            <v>0.49</v>
          </cell>
        </row>
        <row r="88">
          <cell r="A88">
            <v>24005400600</v>
          </cell>
          <cell r="B88" t="str">
            <v>Catonsville, MD</v>
          </cell>
          <cell r="C88">
            <v>0.48980000000000001</v>
          </cell>
        </row>
        <row r="89">
          <cell r="A89">
            <v>24005450501</v>
          </cell>
          <cell r="B89" t="str">
            <v>Essex, MD</v>
          </cell>
          <cell r="C89">
            <v>0.48930000000000001</v>
          </cell>
        </row>
        <row r="90">
          <cell r="A90">
            <v>24005420600</v>
          </cell>
          <cell r="B90" t="str">
            <v>Baltimore, MD</v>
          </cell>
          <cell r="C90">
            <v>0.48809999999999998</v>
          </cell>
        </row>
        <row r="91">
          <cell r="A91">
            <v>24003750300</v>
          </cell>
          <cell r="B91" t="str">
            <v>Linthicum Heights, MD</v>
          </cell>
          <cell r="C91">
            <v>0.48749999999999999</v>
          </cell>
        </row>
        <row r="92">
          <cell r="A92">
            <v>24025301401</v>
          </cell>
          <cell r="B92" t="str">
            <v>Harford County, MD</v>
          </cell>
          <cell r="C92">
            <v>0.48599999999999999</v>
          </cell>
        </row>
        <row r="93">
          <cell r="A93">
            <v>24005400200</v>
          </cell>
          <cell r="B93" t="str">
            <v>Catonsville, MD</v>
          </cell>
          <cell r="C93">
            <v>0.48580000000000001</v>
          </cell>
        </row>
        <row r="94">
          <cell r="A94">
            <v>24005451000</v>
          </cell>
          <cell r="B94" t="str">
            <v>Essex, MD</v>
          </cell>
          <cell r="C94">
            <v>0.48380000000000001</v>
          </cell>
        </row>
        <row r="95">
          <cell r="A95">
            <v>24027606706</v>
          </cell>
          <cell r="B95" t="str">
            <v>Kendall Ridge, Columbia, MD</v>
          </cell>
          <cell r="C95">
            <v>0.4819</v>
          </cell>
        </row>
        <row r="96">
          <cell r="A96">
            <v>24510272003</v>
          </cell>
          <cell r="B96" t="str">
            <v>Baltimore, MD</v>
          </cell>
          <cell r="C96">
            <v>0.48099999999999998</v>
          </cell>
        </row>
        <row r="97">
          <cell r="A97">
            <v>24005420302</v>
          </cell>
          <cell r="B97" t="str">
            <v>Dundalk, MD</v>
          </cell>
          <cell r="C97">
            <v>0.48070000000000002</v>
          </cell>
        </row>
        <row r="98">
          <cell r="A98">
            <v>24005441101</v>
          </cell>
          <cell r="B98" t="str">
            <v>Rosedale, MD</v>
          </cell>
          <cell r="C98">
            <v>0.48060000000000003</v>
          </cell>
        </row>
        <row r="99">
          <cell r="A99">
            <v>24510272006</v>
          </cell>
          <cell r="B99" t="str">
            <v>Glen, Baltimore, MD</v>
          </cell>
          <cell r="C99">
            <v>0.4803</v>
          </cell>
        </row>
        <row r="100">
          <cell r="A100">
            <v>24005420701</v>
          </cell>
          <cell r="B100" t="str">
            <v>Dundalk, MD</v>
          </cell>
          <cell r="C100">
            <v>0.47799999999999998</v>
          </cell>
        </row>
        <row r="101">
          <cell r="A101">
            <v>24005451900</v>
          </cell>
          <cell r="B101" t="str">
            <v>Edgemere, MD</v>
          </cell>
          <cell r="C101">
            <v>0.47720000000000001</v>
          </cell>
        </row>
        <row r="102">
          <cell r="A102">
            <v>24005430800</v>
          </cell>
          <cell r="B102" t="str">
            <v>Halethorpe, MD</v>
          </cell>
          <cell r="C102">
            <v>0.47699999999999998</v>
          </cell>
        </row>
        <row r="103">
          <cell r="A103">
            <v>24510120202</v>
          </cell>
          <cell r="B103" t="str">
            <v>Baltimore, MD</v>
          </cell>
          <cell r="C103">
            <v>0.47349999999999998</v>
          </cell>
        </row>
        <row r="104">
          <cell r="A104">
            <v>24005451803</v>
          </cell>
          <cell r="B104" t="str">
            <v>Middle River, MD</v>
          </cell>
          <cell r="C104">
            <v>0.47220000000000001</v>
          </cell>
        </row>
        <row r="105">
          <cell r="A105">
            <v>24510120100</v>
          </cell>
          <cell r="B105" t="str">
            <v>Tuscany - Canterbury, Baltimore, MD</v>
          </cell>
          <cell r="C105">
            <v>0.47020000000000001</v>
          </cell>
        </row>
        <row r="106">
          <cell r="A106">
            <v>24005402202</v>
          </cell>
          <cell r="B106" t="str">
            <v>Baltimore County, MD</v>
          </cell>
          <cell r="C106">
            <v>0.46920000000000001</v>
          </cell>
        </row>
        <row r="107">
          <cell r="A107">
            <v>24510010400</v>
          </cell>
          <cell r="B107" t="str">
            <v>Canton, Baltimore, MD</v>
          </cell>
          <cell r="C107">
            <v>0.46860000000000002</v>
          </cell>
        </row>
        <row r="108">
          <cell r="A108">
            <v>24510261100</v>
          </cell>
          <cell r="B108" t="str">
            <v>Canton, Baltimore, MD</v>
          </cell>
          <cell r="C108">
            <v>0.46839999999999998</v>
          </cell>
        </row>
        <row r="109">
          <cell r="A109">
            <v>24005420800</v>
          </cell>
          <cell r="B109" t="str">
            <v>Dundalk, MD</v>
          </cell>
          <cell r="C109">
            <v>0.46710000000000002</v>
          </cell>
        </row>
        <row r="110">
          <cell r="A110">
            <v>24510230200</v>
          </cell>
          <cell r="B110" t="str">
            <v>South Baltimore, Baltimore, MD</v>
          </cell>
          <cell r="C110">
            <v>0.46610000000000001</v>
          </cell>
        </row>
        <row r="111">
          <cell r="A111">
            <v>24005430200</v>
          </cell>
          <cell r="B111" t="str">
            <v>Lansdowne - Baltimore Highlands, Lansdowne, MD</v>
          </cell>
          <cell r="C111">
            <v>0.46329999999999999</v>
          </cell>
        </row>
        <row r="112">
          <cell r="A112">
            <v>24005430900</v>
          </cell>
          <cell r="B112" t="str">
            <v>Baltimore, MD</v>
          </cell>
          <cell r="C112">
            <v>0.46129999999999999</v>
          </cell>
        </row>
        <row r="113">
          <cell r="A113">
            <v>24005450100</v>
          </cell>
          <cell r="B113" t="str">
            <v>Rosedale, MD</v>
          </cell>
          <cell r="C113">
            <v>0.46060000000000001</v>
          </cell>
        </row>
        <row r="114">
          <cell r="A114">
            <v>24510010100</v>
          </cell>
          <cell r="B114" t="str">
            <v>Canton, Baltimore, MD</v>
          </cell>
          <cell r="C114">
            <v>0.46029999999999999</v>
          </cell>
        </row>
        <row r="115">
          <cell r="A115">
            <v>24005491500</v>
          </cell>
          <cell r="B115" t="str">
            <v>Parkville, MD</v>
          </cell>
          <cell r="C115">
            <v>0.45960000000000001</v>
          </cell>
        </row>
        <row r="116">
          <cell r="A116">
            <v>24003751103</v>
          </cell>
          <cell r="B116" t="str">
            <v>Glen Burnie, MD</v>
          </cell>
          <cell r="C116">
            <v>0.45900000000000002</v>
          </cell>
        </row>
        <row r="117">
          <cell r="A117">
            <v>24005430104</v>
          </cell>
          <cell r="B117" t="str">
            <v>Lansdowne - Baltimore Highlands, Halethorpe, MD</v>
          </cell>
          <cell r="C117">
            <v>0.4572</v>
          </cell>
        </row>
        <row r="118">
          <cell r="A118">
            <v>24005403300</v>
          </cell>
          <cell r="B118" t="str">
            <v>Lochearn, Pikesville, MD</v>
          </cell>
          <cell r="C118">
            <v>0.45639999999999997</v>
          </cell>
        </row>
        <row r="119">
          <cell r="A119">
            <v>24005451300</v>
          </cell>
          <cell r="B119" t="str">
            <v>Middle River, MD</v>
          </cell>
          <cell r="C119">
            <v>0.45269999999999999</v>
          </cell>
        </row>
        <row r="120">
          <cell r="A120">
            <v>24005421102</v>
          </cell>
          <cell r="B120" t="str">
            <v>Dundalk, MD</v>
          </cell>
          <cell r="C120">
            <v>0.4521</v>
          </cell>
        </row>
        <row r="121">
          <cell r="A121">
            <v>24510120201</v>
          </cell>
          <cell r="B121" t="str">
            <v>Baltimore, MD</v>
          </cell>
          <cell r="C121">
            <v>0.45190000000000002</v>
          </cell>
        </row>
        <row r="122">
          <cell r="A122">
            <v>24005450200</v>
          </cell>
          <cell r="B122" t="str">
            <v>Essex, MD</v>
          </cell>
          <cell r="C122">
            <v>0.4481</v>
          </cell>
        </row>
        <row r="123">
          <cell r="A123">
            <v>24005420200</v>
          </cell>
          <cell r="B123" t="str">
            <v>Dundalk, MD</v>
          </cell>
          <cell r="C123">
            <v>0.44640000000000002</v>
          </cell>
        </row>
        <row r="124">
          <cell r="A124">
            <v>24005420900</v>
          </cell>
          <cell r="B124" t="str">
            <v>Dundalk, MD</v>
          </cell>
          <cell r="C124">
            <v>0.44479999999999997</v>
          </cell>
        </row>
        <row r="125">
          <cell r="A125">
            <v>24510270703</v>
          </cell>
          <cell r="B125" t="str">
            <v>North Harford Road, Baltimore, MD</v>
          </cell>
          <cell r="C125">
            <v>0.44409999999999999</v>
          </cell>
        </row>
        <row r="126">
          <cell r="A126">
            <v>24510240400</v>
          </cell>
          <cell r="B126" t="str">
            <v>Riverside Park, Baltimore, MD</v>
          </cell>
          <cell r="C126">
            <v>0.43719999999999998</v>
          </cell>
        </row>
        <row r="127">
          <cell r="A127">
            <v>24510260605</v>
          </cell>
          <cell r="B127" t="str">
            <v>Medford - Broening, Baltimore, MD</v>
          </cell>
          <cell r="C127">
            <v>0.43690000000000001</v>
          </cell>
        </row>
        <row r="128">
          <cell r="A128">
            <v>24005451600</v>
          </cell>
          <cell r="B128" t="str">
            <v>Middle River, MD</v>
          </cell>
          <cell r="C128">
            <v>0.43380000000000002</v>
          </cell>
        </row>
        <row r="129">
          <cell r="A129">
            <v>24005400800</v>
          </cell>
          <cell r="B129" t="str">
            <v>Catonsville, MD</v>
          </cell>
          <cell r="C129">
            <v>0.43259999999999998</v>
          </cell>
        </row>
        <row r="130">
          <cell r="A130">
            <v>24025306500</v>
          </cell>
          <cell r="B130" t="str">
            <v>Aberdeen Proving Ground, MD</v>
          </cell>
          <cell r="C130">
            <v>0.43240000000000001</v>
          </cell>
        </row>
        <row r="131">
          <cell r="A131">
            <v>24005452000</v>
          </cell>
          <cell r="B131" t="str">
            <v>Sparrows Point, MD</v>
          </cell>
          <cell r="C131">
            <v>0.43059999999999998</v>
          </cell>
        </row>
        <row r="132">
          <cell r="A132">
            <v>24005492300</v>
          </cell>
          <cell r="B132" t="str">
            <v>Essex, MD</v>
          </cell>
          <cell r="C132">
            <v>0.42980000000000002</v>
          </cell>
        </row>
        <row r="133">
          <cell r="A133">
            <v>24510130600</v>
          </cell>
          <cell r="B133" t="str">
            <v>Hampden, Baltimore, MD</v>
          </cell>
          <cell r="C133">
            <v>0.42420000000000002</v>
          </cell>
        </row>
        <row r="134">
          <cell r="A134">
            <v>24510240100</v>
          </cell>
          <cell r="B134" t="str">
            <v>Locust Point, Baltimore, MD</v>
          </cell>
          <cell r="C134">
            <v>0.4194</v>
          </cell>
        </row>
        <row r="135">
          <cell r="A135">
            <v>24005420402</v>
          </cell>
          <cell r="B135" t="str">
            <v>Dundalk, MD</v>
          </cell>
          <cell r="C135">
            <v>0.41899999999999998</v>
          </cell>
        </row>
        <row r="136">
          <cell r="A136">
            <v>24510250103</v>
          </cell>
          <cell r="B136" t="str">
            <v>Violetville, Baltimore, MD</v>
          </cell>
          <cell r="C136">
            <v>0.41880000000000001</v>
          </cell>
        </row>
        <row r="137">
          <cell r="A137">
            <v>24005440900</v>
          </cell>
          <cell r="B137" t="str">
            <v>Rosedale, MD</v>
          </cell>
          <cell r="C137">
            <v>0.41849999999999998</v>
          </cell>
        </row>
        <row r="138">
          <cell r="A138">
            <v>24005403401</v>
          </cell>
          <cell r="B138" t="str">
            <v>Pikesville, MD</v>
          </cell>
          <cell r="C138">
            <v>0.4173</v>
          </cell>
        </row>
        <row r="139">
          <cell r="A139">
            <v>24510270402</v>
          </cell>
          <cell r="B139" t="str">
            <v>Glenham-Belford, Baltimore, MD</v>
          </cell>
          <cell r="C139">
            <v>0.41610000000000003</v>
          </cell>
        </row>
        <row r="140">
          <cell r="A140">
            <v>24027601107</v>
          </cell>
          <cell r="B140" t="str">
            <v>Waterloo, Elkridge, MD</v>
          </cell>
          <cell r="C140">
            <v>0.41260000000000002</v>
          </cell>
        </row>
        <row r="141">
          <cell r="A141">
            <v>24005400701</v>
          </cell>
          <cell r="B141" t="str">
            <v>Catonsville, MD</v>
          </cell>
          <cell r="C141">
            <v>0.41199999999999998</v>
          </cell>
        </row>
        <row r="142">
          <cell r="A142">
            <v>24005420401</v>
          </cell>
          <cell r="B142" t="str">
            <v>Dundalk, MD</v>
          </cell>
          <cell r="C142">
            <v>0.41160000000000002</v>
          </cell>
        </row>
        <row r="143">
          <cell r="A143">
            <v>24003750102</v>
          </cell>
          <cell r="B143" t="str">
            <v>Baltimore, MD</v>
          </cell>
          <cell r="C143">
            <v>0.41010000000000002</v>
          </cell>
        </row>
        <row r="144">
          <cell r="A144">
            <v>24005451401</v>
          </cell>
          <cell r="B144" t="str">
            <v>Middle River, MD</v>
          </cell>
          <cell r="C144">
            <v>0.40939999999999999</v>
          </cell>
        </row>
        <row r="145">
          <cell r="A145">
            <v>24003750203</v>
          </cell>
          <cell r="B145" t="str">
            <v>Baltimore, MD</v>
          </cell>
          <cell r="C145">
            <v>0.40860000000000002</v>
          </cell>
        </row>
        <row r="146">
          <cell r="A146">
            <v>24510130700</v>
          </cell>
          <cell r="B146" t="str">
            <v>Hampden, Baltimore, MD</v>
          </cell>
          <cell r="C146">
            <v>0.40760000000000002</v>
          </cell>
        </row>
        <row r="147">
          <cell r="A147">
            <v>24005491300</v>
          </cell>
          <cell r="B147" t="str">
            <v>Baltimore, MD</v>
          </cell>
          <cell r="C147">
            <v>0.40429999999999999</v>
          </cell>
        </row>
        <row r="148">
          <cell r="A148">
            <v>24005421101</v>
          </cell>
          <cell r="B148" t="str">
            <v>Baltimore, MD</v>
          </cell>
          <cell r="C148">
            <v>0.40329999999999999</v>
          </cell>
        </row>
        <row r="149">
          <cell r="A149">
            <v>24510270804</v>
          </cell>
          <cell r="B149" t="str">
            <v>Lake Walker, Baltimore, MD</v>
          </cell>
          <cell r="C149">
            <v>0.40029999999999999</v>
          </cell>
        </row>
        <row r="150">
          <cell r="A150">
            <v>24510272007</v>
          </cell>
          <cell r="B150" t="str">
            <v>Fallstaff, Baltimore, MD</v>
          </cell>
          <cell r="C150">
            <v>0.39989999999999998</v>
          </cell>
        </row>
        <row r="151">
          <cell r="A151">
            <v>24510240200</v>
          </cell>
          <cell r="B151" t="str">
            <v>Riverside, Baltimore, MD</v>
          </cell>
          <cell r="C151">
            <v>0.39290000000000003</v>
          </cell>
        </row>
        <row r="152">
          <cell r="A152">
            <v>24510260501</v>
          </cell>
          <cell r="B152" t="str">
            <v>Joseph Lee, Baltimore, MD</v>
          </cell>
          <cell r="C152">
            <v>0.38790000000000002</v>
          </cell>
        </row>
        <row r="153">
          <cell r="A153">
            <v>24510250303</v>
          </cell>
          <cell r="B153" t="str">
            <v>Morrell Park, Baltimore, MD</v>
          </cell>
          <cell r="C153">
            <v>0.38750000000000001</v>
          </cell>
        </row>
        <row r="154">
          <cell r="A154">
            <v>24005440701</v>
          </cell>
          <cell r="B154" t="str">
            <v>Rosedale, MD</v>
          </cell>
          <cell r="C154">
            <v>0.3846</v>
          </cell>
        </row>
        <row r="155">
          <cell r="A155">
            <v>24003750803</v>
          </cell>
          <cell r="B155" t="str">
            <v>Glen Burnie, MD</v>
          </cell>
          <cell r="C155">
            <v>0.3841</v>
          </cell>
        </row>
        <row r="156">
          <cell r="A156">
            <v>24510271101</v>
          </cell>
          <cell r="B156" t="str">
            <v>Radnor - Winston, Baltimore, MD</v>
          </cell>
          <cell r="C156">
            <v>0.38390000000000002</v>
          </cell>
        </row>
        <row r="157">
          <cell r="A157">
            <v>24005420301</v>
          </cell>
          <cell r="B157" t="str">
            <v>Dundalk, MD</v>
          </cell>
          <cell r="C157">
            <v>0.38329999999999997</v>
          </cell>
        </row>
        <row r="158">
          <cell r="A158">
            <v>24005452300</v>
          </cell>
          <cell r="B158" t="str">
            <v>Baltimore, MD</v>
          </cell>
          <cell r="C158">
            <v>0.37969999999999998</v>
          </cell>
        </row>
        <row r="159">
          <cell r="A159">
            <v>24005451402</v>
          </cell>
          <cell r="B159" t="str">
            <v>Middle River, MD</v>
          </cell>
          <cell r="C159">
            <v>0.37780000000000002</v>
          </cell>
        </row>
        <row r="160">
          <cell r="A160">
            <v>24005403402</v>
          </cell>
          <cell r="B160" t="str">
            <v>Pikesville, MD</v>
          </cell>
          <cell r="C160">
            <v>0.374</v>
          </cell>
        </row>
        <row r="161">
          <cell r="A161">
            <v>24005401505</v>
          </cell>
          <cell r="B161" t="str">
            <v>Catonsville, MD</v>
          </cell>
          <cell r="C161">
            <v>0.37369999999999998</v>
          </cell>
        </row>
        <row r="162">
          <cell r="A162">
            <v>24510250401</v>
          </cell>
          <cell r="B162" t="str">
            <v>Brooklyn, Baltimore, MD</v>
          </cell>
          <cell r="C162">
            <v>0.37009999999999998</v>
          </cell>
        </row>
        <row r="163">
          <cell r="A163">
            <v>24005430300</v>
          </cell>
          <cell r="B163" t="str">
            <v>Lansdowne - Baltimore Highlands, Halethorpe, MD</v>
          </cell>
          <cell r="C163">
            <v>0.36990000000000001</v>
          </cell>
        </row>
        <row r="164">
          <cell r="A164">
            <v>24510020300</v>
          </cell>
          <cell r="B164" t="str">
            <v>Fells Point, Baltimore, MD</v>
          </cell>
          <cell r="C164">
            <v>0.36870000000000003</v>
          </cell>
        </row>
        <row r="165">
          <cell r="A165">
            <v>24003750101</v>
          </cell>
          <cell r="B165" t="str">
            <v>Brooklyn Park, MD</v>
          </cell>
          <cell r="C165">
            <v>0.36730000000000002</v>
          </cell>
        </row>
        <row r="166">
          <cell r="A166">
            <v>24027601203</v>
          </cell>
          <cell r="B166" t="str">
            <v>Elkridge, MD</v>
          </cell>
          <cell r="C166">
            <v>0.36309999999999998</v>
          </cell>
        </row>
        <row r="167">
          <cell r="A167">
            <v>24005450800</v>
          </cell>
          <cell r="B167" t="str">
            <v>Essex, MD</v>
          </cell>
          <cell r="C167">
            <v>0.3619</v>
          </cell>
        </row>
        <row r="168">
          <cell r="A168">
            <v>24510250206</v>
          </cell>
          <cell r="B168" t="str">
            <v>Morrell Park, Baltimore, MD</v>
          </cell>
          <cell r="C168">
            <v>0.35849999999999999</v>
          </cell>
        </row>
        <row r="169">
          <cell r="A169">
            <v>24005400900</v>
          </cell>
          <cell r="B169" t="str">
            <v>Catonsville, MD</v>
          </cell>
          <cell r="C169">
            <v>0.35809999999999997</v>
          </cell>
        </row>
        <row r="170">
          <cell r="A170">
            <v>24510270502</v>
          </cell>
          <cell r="B170" t="str">
            <v>North Harford Road, Baltimore, MD</v>
          </cell>
          <cell r="C170">
            <v>0.35799999999999998</v>
          </cell>
        </row>
        <row r="171">
          <cell r="A171">
            <v>24003750201</v>
          </cell>
          <cell r="B171" t="str">
            <v>Brooklyn, Baltimore, MD</v>
          </cell>
          <cell r="C171">
            <v>0.35780000000000001</v>
          </cell>
        </row>
        <row r="172">
          <cell r="A172">
            <v>24005491402</v>
          </cell>
          <cell r="B172" t="str">
            <v>Parkville, MD</v>
          </cell>
          <cell r="C172">
            <v>0.35720000000000002</v>
          </cell>
        </row>
        <row r="173">
          <cell r="A173">
            <v>24510140100</v>
          </cell>
          <cell r="B173" t="str">
            <v>Bolton Hill, Baltimore, MD</v>
          </cell>
          <cell r="C173">
            <v>0.35699999999999998</v>
          </cell>
        </row>
        <row r="174">
          <cell r="A174">
            <v>24510220100</v>
          </cell>
          <cell r="B174" t="str">
            <v>Baltimore, MD</v>
          </cell>
          <cell r="C174">
            <v>0.35220000000000001</v>
          </cell>
        </row>
        <row r="175">
          <cell r="A175">
            <v>24005440300</v>
          </cell>
          <cell r="B175" t="str">
            <v>Nottingham, MD</v>
          </cell>
          <cell r="C175">
            <v>0.34660000000000002</v>
          </cell>
        </row>
        <row r="176">
          <cell r="A176">
            <v>24510270101</v>
          </cell>
          <cell r="B176" t="str">
            <v>Arcadia, Baltimore, MD</v>
          </cell>
          <cell r="C176">
            <v>0.34610000000000002</v>
          </cell>
        </row>
        <row r="177">
          <cell r="A177">
            <v>24005451500</v>
          </cell>
          <cell r="B177" t="str">
            <v>Middle River, MD</v>
          </cell>
          <cell r="C177">
            <v>0.34300000000000003</v>
          </cell>
        </row>
        <row r="178">
          <cell r="A178">
            <v>24510270600</v>
          </cell>
          <cell r="B178" t="str">
            <v>Harford - Echodale - Perring Parkway, Baltimore, MD</v>
          </cell>
          <cell r="C178">
            <v>0.33939999999999998</v>
          </cell>
        </row>
        <row r="179">
          <cell r="A179">
            <v>24510240300</v>
          </cell>
          <cell r="B179" t="str">
            <v>Riverside, Baltimore, MD</v>
          </cell>
          <cell r="C179">
            <v>0.33450000000000002</v>
          </cell>
        </row>
        <row r="180">
          <cell r="A180">
            <v>24510260800</v>
          </cell>
          <cell r="B180" t="str">
            <v>Baltimore Highlands, Baltimore, MD</v>
          </cell>
          <cell r="C180">
            <v>0.33210000000000001</v>
          </cell>
        </row>
        <row r="181">
          <cell r="A181">
            <v>24005430101</v>
          </cell>
          <cell r="B181" t="str">
            <v>Lansdowne - Baltimore Highlands, Lansdowne, MD</v>
          </cell>
          <cell r="C181">
            <v>0.33160000000000001</v>
          </cell>
        </row>
        <row r="182">
          <cell r="A182">
            <v>24510270401</v>
          </cell>
          <cell r="B182" t="str">
            <v>Glenham-Belford, Baltimore, MD</v>
          </cell>
          <cell r="C182">
            <v>0.32969999999999999</v>
          </cell>
        </row>
        <row r="183">
          <cell r="A183">
            <v>24510271503</v>
          </cell>
          <cell r="B183" t="str">
            <v>Cross Keys, Baltimore, MD</v>
          </cell>
          <cell r="C183">
            <v>0.3296</v>
          </cell>
        </row>
        <row r="184">
          <cell r="A184">
            <v>24510020200</v>
          </cell>
          <cell r="B184" t="str">
            <v>Upper Fells Point, Baltimore, MD</v>
          </cell>
          <cell r="C184">
            <v>0.32740000000000002</v>
          </cell>
        </row>
        <row r="185">
          <cell r="A185">
            <v>24510130806</v>
          </cell>
          <cell r="B185" t="str">
            <v>Woodberry, Baltimore, MD</v>
          </cell>
          <cell r="C185">
            <v>0.32590000000000002</v>
          </cell>
        </row>
        <row r="186">
          <cell r="A186">
            <v>24005401102</v>
          </cell>
          <cell r="B186" t="str">
            <v>Gwynn Oak, Woodlawn, MD</v>
          </cell>
          <cell r="C186">
            <v>0.32429999999999998</v>
          </cell>
        </row>
        <row r="187">
          <cell r="A187">
            <v>24510130803</v>
          </cell>
          <cell r="B187" t="str">
            <v>Medfield, Baltimore, MD</v>
          </cell>
          <cell r="C187">
            <v>0.32229999999999998</v>
          </cell>
        </row>
        <row r="188">
          <cell r="A188">
            <v>24510260700</v>
          </cell>
          <cell r="B188" t="str">
            <v>Fifteenth Street, Baltimore, MD</v>
          </cell>
          <cell r="C188">
            <v>0.32169999999999999</v>
          </cell>
        </row>
        <row r="189">
          <cell r="A189">
            <v>24510260101</v>
          </cell>
          <cell r="B189" t="str">
            <v>Cedmont, Baltimore, MD</v>
          </cell>
          <cell r="C189">
            <v>0.32090000000000002</v>
          </cell>
        </row>
        <row r="190">
          <cell r="A190">
            <v>24510250600</v>
          </cell>
          <cell r="B190" t="str">
            <v>Brooklyn, Baltimore, MD</v>
          </cell>
          <cell r="C190">
            <v>0.31619999999999998</v>
          </cell>
        </row>
        <row r="191">
          <cell r="A191">
            <v>24510270200</v>
          </cell>
          <cell r="B191" t="str">
            <v>Lauraville, Baltimore, MD</v>
          </cell>
          <cell r="C191">
            <v>0.31619999999999998</v>
          </cell>
        </row>
        <row r="192">
          <cell r="A192">
            <v>24005421000</v>
          </cell>
          <cell r="B192" t="str">
            <v>Dundalk, MD</v>
          </cell>
          <cell r="C192">
            <v>0.31530000000000002</v>
          </cell>
        </row>
        <row r="193">
          <cell r="A193">
            <v>24005450504</v>
          </cell>
          <cell r="B193" t="str">
            <v>Essex, MD</v>
          </cell>
          <cell r="C193">
            <v>0.31340000000000001</v>
          </cell>
        </row>
        <row r="194">
          <cell r="A194">
            <v>24510010500</v>
          </cell>
          <cell r="B194" t="str">
            <v>Upper Fells Point, Baltimore, MD</v>
          </cell>
          <cell r="C194">
            <v>0.30959999999999999</v>
          </cell>
        </row>
        <row r="195">
          <cell r="A195">
            <v>24005401302</v>
          </cell>
          <cell r="B195" t="str">
            <v>Gwynn Oak, Baltimore, MD</v>
          </cell>
          <cell r="C195">
            <v>0.30840000000000001</v>
          </cell>
        </row>
        <row r="196">
          <cell r="A196">
            <v>24510270702</v>
          </cell>
          <cell r="B196" t="str">
            <v>Harford - Echodale - Perring Parkway, Baltimore, MD</v>
          </cell>
          <cell r="C196">
            <v>0.30759999999999998</v>
          </cell>
        </row>
        <row r="197">
          <cell r="A197">
            <v>24005451100</v>
          </cell>
          <cell r="B197" t="str">
            <v>Essex, MD</v>
          </cell>
          <cell r="C197">
            <v>0.3075</v>
          </cell>
        </row>
        <row r="198">
          <cell r="A198">
            <v>24510270102</v>
          </cell>
          <cell r="B198" t="str">
            <v>Waltherson, Baltimore, MD</v>
          </cell>
          <cell r="C198">
            <v>0.30630000000000002</v>
          </cell>
        </row>
        <row r="199">
          <cell r="A199">
            <v>24510260401</v>
          </cell>
          <cell r="B199" t="str">
            <v>Armistead Gardens, Baltimore, MD</v>
          </cell>
          <cell r="C199">
            <v>0.3054</v>
          </cell>
        </row>
        <row r="200">
          <cell r="A200">
            <v>24005401101</v>
          </cell>
          <cell r="B200" t="str">
            <v>Woodlawn, MD</v>
          </cell>
          <cell r="C200">
            <v>0.30530000000000002</v>
          </cell>
        </row>
        <row r="201">
          <cell r="A201">
            <v>24003751102</v>
          </cell>
          <cell r="B201" t="str">
            <v>Glen Burnie, MD</v>
          </cell>
          <cell r="C201">
            <v>0.30520000000000003</v>
          </cell>
        </row>
        <row r="202">
          <cell r="A202">
            <v>24005401301</v>
          </cell>
          <cell r="B202" t="str">
            <v>Woodlawn, MD</v>
          </cell>
          <cell r="C202">
            <v>0.30320000000000003</v>
          </cell>
        </row>
        <row r="203">
          <cell r="A203">
            <v>24005402509</v>
          </cell>
          <cell r="B203" t="str">
            <v>Owings Mills, MD</v>
          </cell>
          <cell r="C203">
            <v>0.29959999999999998</v>
          </cell>
        </row>
        <row r="204">
          <cell r="A204">
            <v>24005441000</v>
          </cell>
          <cell r="B204" t="str">
            <v>Baltimore, MD</v>
          </cell>
          <cell r="C204">
            <v>0.29349999999999998</v>
          </cell>
        </row>
        <row r="205">
          <cell r="A205">
            <v>24510270301</v>
          </cell>
          <cell r="B205" t="str">
            <v>Lauraville, Baltimore, MD</v>
          </cell>
          <cell r="C205">
            <v>0.29120000000000001</v>
          </cell>
        </row>
        <row r="206">
          <cell r="A206">
            <v>24005402506</v>
          </cell>
          <cell r="B206" t="str">
            <v>Randallstown, MD</v>
          </cell>
          <cell r="C206">
            <v>0.28349999999999997</v>
          </cell>
        </row>
        <row r="207">
          <cell r="A207">
            <v>24005402604</v>
          </cell>
          <cell r="B207" t="str">
            <v>Randallstown, MD</v>
          </cell>
          <cell r="C207">
            <v>0.2797</v>
          </cell>
        </row>
        <row r="208">
          <cell r="A208">
            <v>24510270302</v>
          </cell>
          <cell r="B208" t="str">
            <v>Waltherson, Baltimore, MD</v>
          </cell>
          <cell r="C208">
            <v>0.2777</v>
          </cell>
        </row>
        <row r="209">
          <cell r="A209">
            <v>24005450503</v>
          </cell>
          <cell r="B209" t="str">
            <v>Essex, MD</v>
          </cell>
          <cell r="C209">
            <v>0.27679999999999999</v>
          </cell>
        </row>
        <row r="210">
          <cell r="A210">
            <v>24510260900</v>
          </cell>
          <cell r="B210" t="str">
            <v>Baltimore, MD</v>
          </cell>
          <cell r="C210">
            <v>0.27329999999999999</v>
          </cell>
        </row>
        <row r="211">
          <cell r="A211">
            <v>24005402603</v>
          </cell>
          <cell r="B211" t="str">
            <v>Randallstown, MD</v>
          </cell>
          <cell r="C211">
            <v>0.27139999999999997</v>
          </cell>
        </row>
        <row r="212">
          <cell r="A212">
            <v>24005401506</v>
          </cell>
          <cell r="B212" t="str">
            <v>Windsor Mill, Baltimore, MD</v>
          </cell>
          <cell r="C212">
            <v>0.26919999999999999</v>
          </cell>
        </row>
        <row r="213">
          <cell r="A213">
            <v>24510250402</v>
          </cell>
          <cell r="B213" t="str">
            <v>Brooklyn, Baltimore, MD</v>
          </cell>
          <cell r="C213">
            <v>0.2681</v>
          </cell>
        </row>
        <row r="214">
          <cell r="A214">
            <v>24510040100</v>
          </cell>
          <cell r="B214" t="str">
            <v>Downtown, Baltimore, MD</v>
          </cell>
          <cell r="C214">
            <v>0.26729999999999998</v>
          </cell>
        </row>
        <row r="215">
          <cell r="A215">
            <v>24510010200</v>
          </cell>
          <cell r="B215" t="str">
            <v>Patterson Park, Baltimore, MD</v>
          </cell>
          <cell r="C215">
            <v>0.26679999999999998</v>
          </cell>
        </row>
        <row r="216">
          <cell r="A216">
            <v>24005402407</v>
          </cell>
          <cell r="B216" t="str">
            <v>Windsor Mill, Milford Mill, MD</v>
          </cell>
          <cell r="C216">
            <v>0.26340000000000002</v>
          </cell>
        </row>
        <row r="217">
          <cell r="A217">
            <v>24510210200</v>
          </cell>
          <cell r="B217" t="str">
            <v>Pigtown, Baltimore, MD</v>
          </cell>
          <cell r="C217">
            <v>0.26340000000000002</v>
          </cell>
        </row>
        <row r="218">
          <cell r="A218">
            <v>24510020100</v>
          </cell>
          <cell r="B218" t="str">
            <v>Upper Fells Point, Baltimore, MD</v>
          </cell>
          <cell r="C218">
            <v>0.26319999999999999</v>
          </cell>
        </row>
        <row r="219">
          <cell r="A219">
            <v>24005402602</v>
          </cell>
          <cell r="B219" t="str">
            <v>Randallstown, MD</v>
          </cell>
          <cell r="C219">
            <v>0.26300000000000001</v>
          </cell>
        </row>
        <row r="220">
          <cell r="A220">
            <v>24510010300</v>
          </cell>
          <cell r="B220" t="str">
            <v>Canton, Baltimore, MD</v>
          </cell>
          <cell r="C220">
            <v>0.2626</v>
          </cell>
        </row>
        <row r="221">
          <cell r="A221">
            <v>24510230300</v>
          </cell>
          <cell r="B221" t="str">
            <v>South Baltimore, Baltimore, MD</v>
          </cell>
          <cell r="C221">
            <v>0.26090000000000002</v>
          </cell>
        </row>
        <row r="222">
          <cell r="A222">
            <v>24510280403</v>
          </cell>
          <cell r="B222" t="str">
            <v>Westgate, Baltimore, MD</v>
          </cell>
          <cell r="C222">
            <v>0.25979999999999998</v>
          </cell>
        </row>
        <row r="223">
          <cell r="A223">
            <v>24510120700</v>
          </cell>
          <cell r="B223" t="str">
            <v>Remington, Baltimore, MD</v>
          </cell>
          <cell r="C223">
            <v>0.25819999999999999</v>
          </cell>
        </row>
        <row r="224">
          <cell r="A224">
            <v>24005401200</v>
          </cell>
          <cell r="B224" t="str">
            <v>Woodlawn, MD</v>
          </cell>
          <cell r="C224">
            <v>0.25669999999999998</v>
          </cell>
        </row>
        <row r="225">
          <cell r="A225">
            <v>24510271900</v>
          </cell>
          <cell r="B225" t="str">
            <v>Glen, Baltimore, MD</v>
          </cell>
          <cell r="C225">
            <v>0.25659999999999999</v>
          </cell>
        </row>
        <row r="226">
          <cell r="A226">
            <v>24005402503</v>
          </cell>
          <cell r="B226" t="str">
            <v>Randallstown, MD</v>
          </cell>
          <cell r="C226">
            <v>0.24740000000000001</v>
          </cell>
        </row>
        <row r="227">
          <cell r="A227">
            <v>24510250500</v>
          </cell>
          <cell r="B227" t="str">
            <v>Curtis Bay, Baltimore, MD</v>
          </cell>
          <cell r="C227">
            <v>0.24510000000000001</v>
          </cell>
        </row>
        <row r="228">
          <cell r="A228">
            <v>24510261000</v>
          </cell>
          <cell r="B228" t="str">
            <v>Patterson Park, Baltimore, MD</v>
          </cell>
          <cell r="C228">
            <v>0.2409</v>
          </cell>
        </row>
        <row r="229">
          <cell r="A229">
            <v>24005403100</v>
          </cell>
          <cell r="B229" t="str">
            <v>Gwynn Oak, Pikesville, MD</v>
          </cell>
          <cell r="C229">
            <v>0.24049999999999999</v>
          </cell>
        </row>
        <row r="230">
          <cell r="A230">
            <v>24005402405</v>
          </cell>
          <cell r="B230" t="str">
            <v>Gwynn Oak, Baltimore, MD</v>
          </cell>
          <cell r="C230">
            <v>0.23330000000000001</v>
          </cell>
        </row>
        <row r="231">
          <cell r="A231">
            <v>24510250205</v>
          </cell>
          <cell r="B231" t="str">
            <v>Lakeland, Baltimore, MD</v>
          </cell>
          <cell r="C231">
            <v>0.23150000000000001</v>
          </cell>
        </row>
        <row r="232">
          <cell r="A232">
            <v>24510230100</v>
          </cell>
          <cell r="B232" t="str">
            <v>Baltimore, MD</v>
          </cell>
          <cell r="C232">
            <v>0.23139999999999999</v>
          </cell>
        </row>
        <row r="233">
          <cell r="A233">
            <v>24510260404</v>
          </cell>
          <cell r="B233" t="str">
            <v>Baltimore Highlands, Baltimore, MD</v>
          </cell>
          <cell r="C233">
            <v>0.2298</v>
          </cell>
        </row>
        <row r="234">
          <cell r="A234">
            <v>24005401507</v>
          </cell>
          <cell r="B234" t="str">
            <v>Windsor Mill, Baltimore, MD</v>
          </cell>
          <cell r="C234">
            <v>0.22650000000000001</v>
          </cell>
        </row>
        <row r="235">
          <cell r="A235">
            <v>24005421300</v>
          </cell>
          <cell r="B235" t="str">
            <v>Dundalk, MD</v>
          </cell>
          <cell r="C235">
            <v>0.22620000000000001</v>
          </cell>
        </row>
        <row r="236">
          <cell r="A236">
            <v>24510080101</v>
          </cell>
          <cell r="B236" t="str">
            <v>Belair - Edison, Baltimore, MD</v>
          </cell>
          <cell r="C236">
            <v>0.22389999999999999</v>
          </cell>
        </row>
        <row r="237">
          <cell r="A237">
            <v>24510200500</v>
          </cell>
          <cell r="B237" t="str">
            <v>Mill Hill, Baltimore, MD</v>
          </cell>
          <cell r="C237">
            <v>0.2172</v>
          </cell>
        </row>
        <row r="238">
          <cell r="A238">
            <v>24005402302</v>
          </cell>
          <cell r="B238" t="str">
            <v>Windsor Mill, Milford Mill, MD</v>
          </cell>
          <cell r="C238">
            <v>0.21659999999999999</v>
          </cell>
        </row>
        <row r="239">
          <cell r="A239">
            <v>24510270903</v>
          </cell>
          <cell r="B239" t="str">
            <v>Hillen, Baltimore, MD</v>
          </cell>
          <cell r="C239">
            <v>0.21629999999999999</v>
          </cell>
        </row>
        <row r="240">
          <cell r="A240">
            <v>24005491401</v>
          </cell>
          <cell r="B240" t="str">
            <v>Parkville, MD</v>
          </cell>
          <cell r="C240">
            <v>0.21210000000000001</v>
          </cell>
        </row>
        <row r="241">
          <cell r="A241">
            <v>24005402305</v>
          </cell>
          <cell r="B241" t="str">
            <v>Lochearn, Pikesville, MD</v>
          </cell>
          <cell r="C241">
            <v>0.21029999999999999</v>
          </cell>
        </row>
        <row r="242">
          <cell r="A242">
            <v>24510270801</v>
          </cell>
          <cell r="B242" t="str">
            <v>Idlewood, Baltimore, MD</v>
          </cell>
          <cell r="C242">
            <v>0.20649999999999999</v>
          </cell>
        </row>
        <row r="243">
          <cell r="A243">
            <v>24005403201</v>
          </cell>
          <cell r="B243" t="str">
            <v>Gwynn Oak, Lochearn, MD</v>
          </cell>
          <cell r="C243">
            <v>0.2036</v>
          </cell>
        </row>
        <row r="244">
          <cell r="A244">
            <v>24510270803</v>
          </cell>
          <cell r="B244" t="str">
            <v>Loch Raven, Baltimore, MD</v>
          </cell>
          <cell r="C244">
            <v>0.2029</v>
          </cell>
        </row>
        <row r="245">
          <cell r="A245">
            <v>24005403202</v>
          </cell>
          <cell r="B245" t="str">
            <v>Gwynn Oak, Baltimore, MD</v>
          </cell>
          <cell r="C245">
            <v>0.2014</v>
          </cell>
        </row>
        <row r="246">
          <cell r="A246">
            <v>24510280402</v>
          </cell>
          <cell r="B246" t="str">
            <v>Rognel Heights, Baltimore, MD</v>
          </cell>
          <cell r="C246">
            <v>0.19409999999999999</v>
          </cell>
        </row>
        <row r="247">
          <cell r="A247">
            <v>24005402403</v>
          </cell>
          <cell r="B247" t="str">
            <v>Gwynn Oak, Baltimore, MD</v>
          </cell>
          <cell r="C247">
            <v>0.19189999999999999</v>
          </cell>
        </row>
        <row r="248">
          <cell r="A248">
            <v>24510200300</v>
          </cell>
          <cell r="B248" t="str">
            <v>Bentalou-Smallwood, Baltimore, MD</v>
          </cell>
          <cell r="C248">
            <v>0.1888</v>
          </cell>
        </row>
        <row r="249">
          <cell r="A249">
            <v>24510270802</v>
          </cell>
          <cell r="B249" t="str">
            <v>Ramblewood, Baltimore, MD</v>
          </cell>
          <cell r="C249">
            <v>0.1855</v>
          </cell>
        </row>
        <row r="250">
          <cell r="A250">
            <v>24510190200</v>
          </cell>
          <cell r="B250" t="str">
            <v>Pratt Monroe, Baltimore, MD</v>
          </cell>
          <cell r="C250">
            <v>0.18529999999999999</v>
          </cell>
        </row>
        <row r="251">
          <cell r="A251">
            <v>24510110200</v>
          </cell>
          <cell r="B251" t="str">
            <v>Downtown, Baltimore, MD</v>
          </cell>
          <cell r="C251">
            <v>0.18340000000000001</v>
          </cell>
        </row>
        <row r="252">
          <cell r="A252">
            <v>24510260102</v>
          </cell>
          <cell r="B252" t="str">
            <v>Frankford, Baltimore, MD</v>
          </cell>
          <cell r="C252">
            <v>0.1825</v>
          </cell>
        </row>
        <row r="253">
          <cell r="A253">
            <v>24510260201</v>
          </cell>
          <cell r="B253" t="str">
            <v>Frankford, Baltimore, MD</v>
          </cell>
          <cell r="C253">
            <v>0.1822</v>
          </cell>
        </row>
        <row r="254">
          <cell r="A254">
            <v>24510200600</v>
          </cell>
          <cell r="B254" t="str">
            <v>Baltimore, MD</v>
          </cell>
          <cell r="C254">
            <v>0.1804</v>
          </cell>
        </row>
        <row r="255">
          <cell r="A255">
            <v>24005402406</v>
          </cell>
          <cell r="B255" t="str">
            <v>Windsor Mill, Milford Mill, MD</v>
          </cell>
          <cell r="C255">
            <v>0.17699999999999999</v>
          </cell>
        </row>
        <row r="256">
          <cell r="A256">
            <v>24510130805</v>
          </cell>
          <cell r="B256" t="str">
            <v>Cold Springs, Baltimore, MD</v>
          </cell>
          <cell r="C256">
            <v>0.1769</v>
          </cell>
        </row>
        <row r="257">
          <cell r="A257">
            <v>24510090300</v>
          </cell>
          <cell r="B257" t="str">
            <v>Ednor Gardens - Lakeside, Baltimore, MD</v>
          </cell>
          <cell r="C257">
            <v>0.17660000000000001</v>
          </cell>
        </row>
        <row r="258">
          <cell r="A258">
            <v>24510260604</v>
          </cell>
          <cell r="B258" t="str">
            <v>O'Donnell Heights, Baltimore, MD</v>
          </cell>
          <cell r="C258">
            <v>0.17510000000000001</v>
          </cell>
        </row>
        <row r="259">
          <cell r="A259">
            <v>24510270902</v>
          </cell>
          <cell r="B259" t="str">
            <v>Perring Loch, Baltimore, MD</v>
          </cell>
          <cell r="C259">
            <v>0.17199999999999999</v>
          </cell>
        </row>
        <row r="260">
          <cell r="A260">
            <v>24005402303</v>
          </cell>
          <cell r="B260" t="str">
            <v>Windsor Mill, Baltimore, MD</v>
          </cell>
          <cell r="C260">
            <v>0.1716</v>
          </cell>
        </row>
        <row r="261">
          <cell r="A261">
            <v>24510260302</v>
          </cell>
          <cell r="B261" t="str">
            <v>Belair - Edison, Baltimore, MD</v>
          </cell>
          <cell r="C261">
            <v>0.16889999999999999</v>
          </cell>
        </row>
        <row r="262">
          <cell r="A262">
            <v>24510260301</v>
          </cell>
          <cell r="B262" t="str">
            <v>Belair - Edison, Baltimore, MD</v>
          </cell>
          <cell r="C262">
            <v>0.16739999999999999</v>
          </cell>
        </row>
        <row r="263">
          <cell r="A263">
            <v>24005402307</v>
          </cell>
          <cell r="B263" t="str">
            <v>Pikesville, MD</v>
          </cell>
          <cell r="C263">
            <v>0.1671</v>
          </cell>
        </row>
        <row r="264">
          <cell r="A264">
            <v>24510190300</v>
          </cell>
          <cell r="B264" t="str">
            <v>Mount Clare, Baltimore, MD</v>
          </cell>
          <cell r="C264">
            <v>0.16589999999999999</v>
          </cell>
        </row>
        <row r="265">
          <cell r="A265">
            <v>24510030200</v>
          </cell>
          <cell r="B265" t="str">
            <v>Little Italy, Baltimore, MD</v>
          </cell>
          <cell r="C265">
            <v>0.1641</v>
          </cell>
        </row>
        <row r="266">
          <cell r="A266">
            <v>24510280401</v>
          </cell>
          <cell r="B266" t="str">
            <v>Baltimore, MD</v>
          </cell>
          <cell r="C266">
            <v>0.1618</v>
          </cell>
        </row>
        <row r="267">
          <cell r="A267">
            <v>24510280102</v>
          </cell>
          <cell r="B267" t="str">
            <v>Gwynn Oak, Baltimore, MD</v>
          </cell>
          <cell r="C267">
            <v>0.16120000000000001</v>
          </cell>
        </row>
        <row r="268">
          <cell r="A268">
            <v>24005402306</v>
          </cell>
          <cell r="B268" t="str">
            <v>Windsor Mill, Baltimore, MD</v>
          </cell>
          <cell r="C268">
            <v>0.15939999999999999</v>
          </cell>
        </row>
        <row r="269">
          <cell r="A269">
            <v>24510280302</v>
          </cell>
          <cell r="B269" t="str">
            <v>West Forest Park, Baltimore, MD</v>
          </cell>
          <cell r="C269">
            <v>0.15720000000000001</v>
          </cell>
        </row>
        <row r="270">
          <cell r="A270">
            <v>24510200702</v>
          </cell>
          <cell r="B270" t="str">
            <v>Saint Joseph's, Baltimore, MD</v>
          </cell>
          <cell r="C270">
            <v>0.15359999999999999</v>
          </cell>
        </row>
        <row r="271">
          <cell r="A271">
            <v>24510250101</v>
          </cell>
          <cell r="B271" t="str">
            <v>Beechfield, Baltimore, MD</v>
          </cell>
          <cell r="C271">
            <v>0.1515</v>
          </cell>
        </row>
        <row r="272">
          <cell r="A272">
            <v>24510260203</v>
          </cell>
          <cell r="B272" t="str">
            <v>Frankford, Baltimore, MD</v>
          </cell>
          <cell r="C272">
            <v>0.15049999999999999</v>
          </cell>
        </row>
        <row r="273">
          <cell r="A273">
            <v>24510090500</v>
          </cell>
          <cell r="B273" t="str">
            <v>Better Waverly, Baltimore, MD</v>
          </cell>
          <cell r="C273">
            <v>0.1502</v>
          </cell>
        </row>
        <row r="274">
          <cell r="A274">
            <v>24510270805</v>
          </cell>
          <cell r="B274" t="str">
            <v>Mid-Govans, Baltimore, MD</v>
          </cell>
          <cell r="C274">
            <v>0.14990000000000001</v>
          </cell>
        </row>
        <row r="275">
          <cell r="A275">
            <v>24005402404</v>
          </cell>
          <cell r="B275" t="str">
            <v>Gwynn Oak, Lochearn, MD</v>
          </cell>
          <cell r="C275">
            <v>0.14729999999999999</v>
          </cell>
        </row>
        <row r="276">
          <cell r="A276">
            <v>24510040200</v>
          </cell>
          <cell r="B276" t="str">
            <v>Downtown, Baltimore, MD</v>
          </cell>
          <cell r="C276">
            <v>0.14729999999999999</v>
          </cell>
        </row>
        <row r="277">
          <cell r="A277">
            <v>24510120600</v>
          </cell>
          <cell r="B277" t="str">
            <v>Old Goucher, Baltimore, MD</v>
          </cell>
          <cell r="C277">
            <v>0.1467</v>
          </cell>
        </row>
        <row r="278">
          <cell r="A278">
            <v>24510270701</v>
          </cell>
          <cell r="B278" t="str">
            <v>Harford - Echodale - Perring Parkway, Baltimore, MD</v>
          </cell>
          <cell r="C278">
            <v>0.14649999999999999</v>
          </cell>
        </row>
        <row r="279">
          <cell r="A279">
            <v>24510151100</v>
          </cell>
          <cell r="B279" t="str">
            <v>East Arlington, Baltimore, MD</v>
          </cell>
          <cell r="C279">
            <v>0.1464</v>
          </cell>
        </row>
        <row r="280">
          <cell r="A280">
            <v>24510060200</v>
          </cell>
          <cell r="B280" t="str">
            <v>Baltimore, MD</v>
          </cell>
          <cell r="C280">
            <v>0.1464</v>
          </cell>
        </row>
        <row r="281">
          <cell r="A281">
            <v>24510260202</v>
          </cell>
          <cell r="B281" t="str">
            <v>Parkside, Baltimore, MD</v>
          </cell>
          <cell r="C281">
            <v>0.1462</v>
          </cell>
        </row>
        <row r="282">
          <cell r="A282">
            <v>24510060300</v>
          </cell>
          <cell r="B282" t="str">
            <v>Butchers Hill, Baltimore, MD</v>
          </cell>
          <cell r="C282">
            <v>0.14599999999999999</v>
          </cell>
        </row>
        <row r="283">
          <cell r="A283">
            <v>24510250203</v>
          </cell>
          <cell r="B283" t="str">
            <v>Cherry Hill, Baltimore, MD</v>
          </cell>
          <cell r="C283">
            <v>0.14599999999999999</v>
          </cell>
        </row>
        <row r="284">
          <cell r="A284">
            <v>24510090200</v>
          </cell>
          <cell r="B284" t="str">
            <v>Ednor Gardens - Lakeside, Baltimore, MD</v>
          </cell>
          <cell r="C284">
            <v>0.1454</v>
          </cell>
        </row>
        <row r="285">
          <cell r="A285">
            <v>24510280200</v>
          </cell>
          <cell r="B285" t="str">
            <v>Gwynn Oak, Baltimore, MD</v>
          </cell>
          <cell r="C285">
            <v>0.14380000000000001</v>
          </cell>
        </row>
        <row r="286">
          <cell r="A286">
            <v>24510280301</v>
          </cell>
          <cell r="B286" t="str">
            <v>Gwynn Oak, Baltimore, MD</v>
          </cell>
          <cell r="C286">
            <v>0.1424</v>
          </cell>
        </row>
        <row r="287">
          <cell r="A287">
            <v>24005402304</v>
          </cell>
          <cell r="B287" t="str">
            <v>Gwynn Oak, Baltimore, MD</v>
          </cell>
          <cell r="C287">
            <v>0.1424</v>
          </cell>
        </row>
        <row r="288">
          <cell r="A288">
            <v>24510150500</v>
          </cell>
          <cell r="B288" t="str">
            <v>Burleith-Leighton, Baltimore, MD</v>
          </cell>
          <cell r="C288">
            <v>0.1411</v>
          </cell>
        </row>
        <row r="289">
          <cell r="A289">
            <v>24510030100</v>
          </cell>
          <cell r="B289" t="str">
            <v>Perkins Homes, Baltimore, MD</v>
          </cell>
          <cell r="C289">
            <v>0.1399</v>
          </cell>
        </row>
        <row r="290">
          <cell r="A290">
            <v>24510060100</v>
          </cell>
          <cell r="B290" t="str">
            <v>Patterson Park, Baltimore, MD</v>
          </cell>
          <cell r="C290">
            <v>0.13830000000000001</v>
          </cell>
        </row>
        <row r="291">
          <cell r="A291">
            <v>24510070100</v>
          </cell>
          <cell r="B291" t="str">
            <v>Baltimore, MD</v>
          </cell>
          <cell r="C291">
            <v>0.13370000000000001</v>
          </cell>
        </row>
        <row r="292">
          <cell r="A292">
            <v>24510250301</v>
          </cell>
          <cell r="B292" t="str">
            <v>Westport, Baltimore, MD</v>
          </cell>
          <cell r="C292">
            <v>0.13150000000000001</v>
          </cell>
        </row>
        <row r="293">
          <cell r="A293">
            <v>24510080500</v>
          </cell>
          <cell r="B293" t="str">
            <v>Darley Park, Baltimore, MD</v>
          </cell>
          <cell r="C293">
            <v>0.13059999999999999</v>
          </cell>
        </row>
        <row r="294">
          <cell r="A294">
            <v>24510280101</v>
          </cell>
          <cell r="B294" t="str">
            <v>Reisterstown Station, Baltimore, MD</v>
          </cell>
          <cell r="C294">
            <v>0.12889999999999999</v>
          </cell>
        </row>
        <row r="295">
          <cell r="A295">
            <v>24510150702</v>
          </cell>
          <cell r="B295" t="str">
            <v>Walbrook, Baltimore, MD</v>
          </cell>
          <cell r="C295">
            <v>0.1275</v>
          </cell>
        </row>
        <row r="296">
          <cell r="A296">
            <v>24510120500</v>
          </cell>
          <cell r="B296" t="str">
            <v>Greenmount West, Baltimore, MD</v>
          </cell>
          <cell r="C296">
            <v>0.127</v>
          </cell>
        </row>
        <row r="297">
          <cell r="A297">
            <v>24510130100</v>
          </cell>
          <cell r="B297" t="str">
            <v>Reservoir Hill, Baltimore, MD</v>
          </cell>
          <cell r="C297">
            <v>0.12640000000000001</v>
          </cell>
        </row>
        <row r="298">
          <cell r="A298">
            <v>24510110100</v>
          </cell>
          <cell r="B298" t="str">
            <v>Downtown, Baltimore, MD</v>
          </cell>
          <cell r="C298">
            <v>0.1242</v>
          </cell>
        </row>
        <row r="299">
          <cell r="A299">
            <v>24510260402</v>
          </cell>
          <cell r="B299" t="str">
            <v>Frankford, Baltimore, MD</v>
          </cell>
          <cell r="C299">
            <v>0.12379999999999999</v>
          </cell>
        </row>
        <row r="300">
          <cell r="A300">
            <v>24510130400</v>
          </cell>
          <cell r="B300" t="str">
            <v>Woodbrook, Baltimore, MD</v>
          </cell>
          <cell r="C300">
            <v>0.1225</v>
          </cell>
        </row>
        <row r="301">
          <cell r="A301">
            <v>24510270901</v>
          </cell>
          <cell r="B301" t="str">
            <v>New Northwood, Baltimore, MD</v>
          </cell>
          <cell r="C301">
            <v>0.12189999999999999</v>
          </cell>
        </row>
        <row r="302">
          <cell r="A302">
            <v>24510130200</v>
          </cell>
          <cell r="B302" t="str">
            <v>Reservoir Hill, Baltimore, MD</v>
          </cell>
          <cell r="C302">
            <v>0.1211</v>
          </cell>
        </row>
        <row r="303">
          <cell r="A303">
            <v>24510090100</v>
          </cell>
          <cell r="B303" t="str">
            <v>Ednor Gardens - Lakeside, Baltimore, MD</v>
          </cell>
          <cell r="C303">
            <v>0.11990000000000001</v>
          </cell>
        </row>
        <row r="304">
          <cell r="A304">
            <v>24510250102</v>
          </cell>
          <cell r="B304" t="str">
            <v>Yale Heights, Baltimore, MD</v>
          </cell>
          <cell r="C304">
            <v>0.1177</v>
          </cell>
        </row>
        <row r="305">
          <cell r="A305">
            <v>24510150701</v>
          </cell>
          <cell r="B305" t="str">
            <v>Hanlon Longwood, Baltimore, MD</v>
          </cell>
          <cell r="C305">
            <v>0.1168</v>
          </cell>
        </row>
        <row r="306">
          <cell r="A306">
            <v>24510160700</v>
          </cell>
          <cell r="B306" t="str">
            <v>Rosemont, Baltimore, MD</v>
          </cell>
          <cell r="C306">
            <v>0.115</v>
          </cell>
        </row>
        <row r="307">
          <cell r="A307">
            <v>24510200800</v>
          </cell>
          <cell r="B307" t="str">
            <v>Irvington, Baltimore, MD</v>
          </cell>
          <cell r="C307">
            <v>0.11459999999999999</v>
          </cell>
        </row>
        <row r="308">
          <cell r="A308">
            <v>24510180300</v>
          </cell>
          <cell r="B308" t="str">
            <v>Hollins Market, Baltimore, MD</v>
          </cell>
          <cell r="C308">
            <v>0.1128</v>
          </cell>
        </row>
        <row r="309">
          <cell r="A309">
            <v>24510271002</v>
          </cell>
          <cell r="B309" t="str">
            <v>Winston - Govans, Baltimore, MD</v>
          </cell>
          <cell r="C309">
            <v>0.11269999999999999</v>
          </cell>
        </row>
        <row r="310">
          <cell r="A310">
            <v>24510151200</v>
          </cell>
          <cell r="B310" t="str">
            <v>Park Circle, Baltimore, MD</v>
          </cell>
          <cell r="C310">
            <v>0.1094</v>
          </cell>
        </row>
        <row r="311">
          <cell r="A311">
            <v>24510271001</v>
          </cell>
          <cell r="B311" t="str">
            <v>Baltimore, MD</v>
          </cell>
          <cell r="C311">
            <v>0.1085</v>
          </cell>
        </row>
        <row r="312">
          <cell r="A312">
            <v>24510150300</v>
          </cell>
          <cell r="B312" t="str">
            <v>Coppin Heights, Baltimore, MD</v>
          </cell>
          <cell r="C312">
            <v>0.1077</v>
          </cell>
        </row>
        <row r="313">
          <cell r="A313">
            <v>24510250207</v>
          </cell>
          <cell r="B313" t="str">
            <v>Cherry Hill, Baltimore, MD</v>
          </cell>
          <cell r="C313">
            <v>0.1065</v>
          </cell>
        </row>
        <row r="314">
          <cell r="A314">
            <v>24510170100</v>
          </cell>
          <cell r="B314" t="str">
            <v>Downtown, Baltimore, MD</v>
          </cell>
          <cell r="C314">
            <v>0.1056</v>
          </cell>
        </row>
        <row r="315">
          <cell r="A315">
            <v>24510090400</v>
          </cell>
          <cell r="B315" t="str">
            <v>Better Waverly, Baltimore, MD</v>
          </cell>
          <cell r="C315">
            <v>0.1055</v>
          </cell>
        </row>
        <row r="316">
          <cell r="A316">
            <v>24510150400</v>
          </cell>
          <cell r="B316" t="str">
            <v>Mondawmin, Baltimore, MD</v>
          </cell>
          <cell r="C316">
            <v>0.1053</v>
          </cell>
        </row>
        <row r="317">
          <cell r="A317">
            <v>24510150800</v>
          </cell>
          <cell r="B317" t="str">
            <v>Garwyn Oaks, Baltimore, MD</v>
          </cell>
          <cell r="C317">
            <v>0.1045</v>
          </cell>
        </row>
        <row r="318">
          <cell r="A318">
            <v>24510160802</v>
          </cell>
          <cell r="B318" t="str">
            <v>Edmondson, Baltimore, MD</v>
          </cell>
          <cell r="C318">
            <v>0.10440000000000001</v>
          </cell>
        </row>
        <row r="319">
          <cell r="A319">
            <v>24510151000</v>
          </cell>
          <cell r="B319" t="str">
            <v>Dorchester, Baltimore, MD</v>
          </cell>
          <cell r="C319">
            <v>0.1038</v>
          </cell>
        </row>
        <row r="320">
          <cell r="A320">
            <v>24510260403</v>
          </cell>
          <cell r="B320" t="str">
            <v>Cedonia, Baltimore, MD</v>
          </cell>
          <cell r="C320">
            <v>0.1024</v>
          </cell>
        </row>
        <row r="321">
          <cell r="A321">
            <v>24510271700</v>
          </cell>
          <cell r="B321" t="str">
            <v>Central Park Heights, Baltimore, MD</v>
          </cell>
          <cell r="C321">
            <v>0.1019</v>
          </cell>
        </row>
        <row r="322">
          <cell r="A322">
            <v>24510271802</v>
          </cell>
          <cell r="B322" t="str">
            <v>Langston Hughes, Baltimore, MD</v>
          </cell>
          <cell r="C322">
            <v>9.9299999999999999E-2</v>
          </cell>
        </row>
        <row r="323">
          <cell r="A323">
            <v>24510280404</v>
          </cell>
          <cell r="B323" t="str">
            <v>Irvington, Baltimore, MD</v>
          </cell>
          <cell r="C323">
            <v>9.8000000000000004E-2</v>
          </cell>
        </row>
        <row r="324">
          <cell r="A324">
            <v>24510120300</v>
          </cell>
          <cell r="B324" t="str">
            <v>Harwood, Baltimore, MD</v>
          </cell>
          <cell r="C324">
            <v>9.7799999999999998E-2</v>
          </cell>
        </row>
        <row r="325">
          <cell r="A325">
            <v>24510160200</v>
          </cell>
          <cell r="B325" t="str">
            <v>Sandtown-Winchester, Baltimore, MD</v>
          </cell>
          <cell r="C325">
            <v>9.7500000000000003E-2</v>
          </cell>
        </row>
        <row r="326">
          <cell r="A326">
            <v>24510200701</v>
          </cell>
          <cell r="B326" t="str">
            <v>Allendale, Baltimore, MD</v>
          </cell>
          <cell r="C326">
            <v>9.6199999999999994E-2</v>
          </cell>
        </row>
        <row r="327">
          <cell r="A327">
            <v>24510210100</v>
          </cell>
          <cell r="B327" t="str">
            <v>Pigtown, Baltimore, MD</v>
          </cell>
          <cell r="C327">
            <v>9.4600000000000004E-2</v>
          </cell>
        </row>
        <row r="328">
          <cell r="A328">
            <v>24510090700</v>
          </cell>
          <cell r="B328" t="str">
            <v>Coldstream - Homestead - Montebello, Baltimore, MD</v>
          </cell>
          <cell r="C328">
            <v>9.2899999999999996E-2</v>
          </cell>
        </row>
        <row r="329">
          <cell r="A329">
            <v>24510140300</v>
          </cell>
          <cell r="B329" t="str">
            <v>Druid Heights, Baltimore, MD</v>
          </cell>
          <cell r="C329">
            <v>9.1399999999999995E-2</v>
          </cell>
        </row>
        <row r="330">
          <cell r="A330">
            <v>24510151300</v>
          </cell>
          <cell r="B330" t="str">
            <v>Central Park Heights, Baltimore, MD</v>
          </cell>
          <cell r="C330">
            <v>9.06E-2</v>
          </cell>
        </row>
        <row r="331">
          <cell r="A331">
            <v>24510090600</v>
          </cell>
          <cell r="B331" t="str">
            <v>Coldstream - Homestead - Montebello, Baltimore, MD</v>
          </cell>
          <cell r="C331">
            <v>8.9200000000000002E-2</v>
          </cell>
        </row>
        <row r="332">
          <cell r="A332">
            <v>24510271801</v>
          </cell>
          <cell r="B332" t="str">
            <v>Arlington, Baltimore, MD</v>
          </cell>
          <cell r="C332">
            <v>8.8900000000000007E-2</v>
          </cell>
        </row>
        <row r="333">
          <cell r="A333">
            <v>24510070400</v>
          </cell>
          <cell r="B333" t="str">
            <v>Gay Street, Baltimore, MD</v>
          </cell>
          <cell r="C333">
            <v>8.8400000000000006E-2</v>
          </cell>
        </row>
        <row r="334">
          <cell r="A334">
            <v>24510070200</v>
          </cell>
          <cell r="B334" t="str">
            <v>Madison - Eastend, Baltimore, MD</v>
          </cell>
          <cell r="C334">
            <v>8.6999999999999994E-2</v>
          </cell>
        </row>
        <row r="335">
          <cell r="A335">
            <v>24510160801</v>
          </cell>
          <cell r="B335" t="str">
            <v>Edmondson, Baltimore, MD</v>
          </cell>
          <cell r="C335">
            <v>8.6999999999999994E-2</v>
          </cell>
        </row>
        <row r="336">
          <cell r="A336">
            <v>24510260303</v>
          </cell>
          <cell r="B336" t="str">
            <v>Claremont - Freedom, Baltimore, MD</v>
          </cell>
          <cell r="C336">
            <v>8.6599999999999996E-2</v>
          </cell>
        </row>
        <row r="337">
          <cell r="A337">
            <v>24510160600</v>
          </cell>
          <cell r="B337" t="str">
            <v>Mosher, Baltimore, MD</v>
          </cell>
          <cell r="C337">
            <v>8.5400000000000004E-2</v>
          </cell>
        </row>
        <row r="338">
          <cell r="A338">
            <v>24510150200</v>
          </cell>
          <cell r="B338" t="str">
            <v>Sandtown-Winchester, Baltimore, MD</v>
          </cell>
          <cell r="C338">
            <v>8.5099999999999995E-2</v>
          </cell>
        </row>
        <row r="339">
          <cell r="A339">
            <v>24510090800</v>
          </cell>
          <cell r="B339" t="str">
            <v>East Baltimore Midway, Baltimore, MD</v>
          </cell>
          <cell r="C339">
            <v>8.48E-2</v>
          </cell>
        </row>
        <row r="340">
          <cell r="A340">
            <v>24510180200</v>
          </cell>
          <cell r="B340" t="str">
            <v>Poppleton, Baltimore, MD</v>
          </cell>
          <cell r="C340">
            <v>8.4400000000000003E-2</v>
          </cell>
        </row>
        <row r="341">
          <cell r="A341">
            <v>24510080700</v>
          </cell>
          <cell r="B341" t="str">
            <v>Broadway East, Baltimore, MD</v>
          </cell>
          <cell r="C341">
            <v>8.3599999999999994E-2</v>
          </cell>
        </row>
        <row r="342">
          <cell r="A342">
            <v>24510080200</v>
          </cell>
          <cell r="B342" t="str">
            <v>Broadway East, Baltimore, MD</v>
          </cell>
          <cell r="C342">
            <v>8.3199999999999996E-2</v>
          </cell>
        </row>
        <row r="343">
          <cell r="A343">
            <v>24510080302</v>
          </cell>
          <cell r="B343" t="str">
            <v>Berea, Baltimore, MD</v>
          </cell>
          <cell r="C343">
            <v>8.3000000000000004E-2</v>
          </cell>
        </row>
        <row r="344">
          <cell r="A344">
            <v>24510100200</v>
          </cell>
          <cell r="B344" t="str">
            <v>Baltimore, MD</v>
          </cell>
          <cell r="C344">
            <v>8.2799999999999999E-2</v>
          </cell>
        </row>
        <row r="345">
          <cell r="A345">
            <v>24510200200</v>
          </cell>
          <cell r="B345" t="str">
            <v>Lexington, Baltimore, MD</v>
          </cell>
          <cell r="C345">
            <v>8.2299999999999998E-2</v>
          </cell>
        </row>
        <row r="346">
          <cell r="A346">
            <v>24510150900</v>
          </cell>
          <cell r="B346" t="str">
            <v>Windsor Hills, Baltimore, MD</v>
          </cell>
          <cell r="C346">
            <v>8.0600000000000005E-2</v>
          </cell>
        </row>
        <row r="347">
          <cell r="A347">
            <v>24510080102</v>
          </cell>
          <cell r="B347" t="str">
            <v>Belair - Edison, Baltimore, MD</v>
          </cell>
          <cell r="C347">
            <v>7.8899999999999998E-2</v>
          </cell>
        </row>
        <row r="348">
          <cell r="A348">
            <v>24510271600</v>
          </cell>
          <cell r="B348" t="str">
            <v>Edgecomb, Baltimore, MD</v>
          </cell>
          <cell r="C348">
            <v>7.8700000000000006E-2</v>
          </cell>
        </row>
        <row r="349">
          <cell r="A349">
            <v>24510150600</v>
          </cell>
          <cell r="B349" t="str">
            <v>NW Community Action, Baltimore, MD</v>
          </cell>
          <cell r="C349">
            <v>7.8700000000000006E-2</v>
          </cell>
        </row>
        <row r="350">
          <cell r="A350">
            <v>24510140200</v>
          </cell>
          <cell r="B350" t="str">
            <v>Upton, Baltimore, MD</v>
          </cell>
          <cell r="C350">
            <v>7.7200000000000005E-2</v>
          </cell>
        </row>
        <row r="351">
          <cell r="A351">
            <v>24510080301</v>
          </cell>
          <cell r="B351" t="str">
            <v>Berea, Baltimore, MD</v>
          </cell>
          <cell r="C351">
            <v>7.6399999999999996E-2</v>
          </cell>
        </row>
        <row r="352">
          <cell r="A352">
            <v>24510090900</v>
          </cell>
          <cell r="B352" t="str">
            <v>Oliver, Baltimore, MD</v>
          </cell>
          <cell r="C352">
            <v>7.5399999999999995E-2</v>
          </cell>
        </row>
        <row r="353">
          <cell r="A353">
            <v>24510080400</v>
          </cell>
          <cell r="B353" t="str">
            <v>Broadway East, Baltimore, MD</v>
          </cell>
          <cell r="C353">
            <v>7.2900000000000006E-2</v>
          </cell>
        </row>
        <row r="354">
          <cell r="A354">
            <v>24510160500</v>
          </cell>
          <cell r="B354" t="str">
            <v>Bridgeview-Greenlawn, Baltimore, MD</v>
          </cell>
          <cell r="C354">
            <v>7.2900000000000006E-2</v>
          </cell>
        </row>
        <row r="355">
          <cell r="A355">
            <v>24510120400</v>
          </cell>
          <cell r="B355" t="str">
            <v>Barclay, Baltimore, MD</v>
          </cell>
          <cell r="C355">
            <v>7.2300000000000003E-2</v>
          </cell>
        </row>
        <row r="356">
          <cell r="A356">
            <v>24510170300</v>
          </cell>
          <cell r="B356" t="str">
            <v>Upton, Baltimore, MD</v>
          </cell>
          <cell r="C356">
            <v>7.2099999999999997E-2</v>
          </cell>
        </row>
        <row r="357">
          <cell r="A357">
            <v>24510200400</v>
          </cell>
          <cell r="B357" t="str">
            <v>Shipley Hill, Baltimore, MD</v>
          </cell>
          <cell r="C357">
            <v>7.17E-2</v>
          </cell>
        </row>
        <row r="358">
          <cell r="A358">
            <v>24510130300</v>
          </cell>
          <cell r="B358" t="str">
            <v>Penn North, Baltimore, MD</v>
          </cell>
          <cell r="C358">
            <v>6.9800000000000001E-2</v>
          </cell>
        </row>
        <row r="359">
          <cell r="A359">
            <v>24510060400</v>
          </cell>
          <cell r="B359" t="str">
            <v>Baltimore, MD</v>
          </cell>
          <cell r="C359">
            <v>6.7799999999999999E-2</v>
          </cell>
        </row>
        <row r="360">
          <cell r="A360">
            <v>24510080800</v>
          </cell>
          <cell r="B360" t="str">
            <v>Broadway East, Baltimore, MD</v>
          </cell>
          <cell r="C360">
            <v>6.6900000000000001E-2</v>
          </cell>
        </row>
        <row r="361">
          <cell r="A361">
            <v>24510160100</v>
          </cell>
          <cell r="B361" t="str">
            <v>Harlem Park, Baltimore, MD</v>
          </cell>
          <cell r="C361">
            <v>6.4299999999999996E-2</v>
          </cell>
        </row>
        <row r="362">
          <cell r="A362">
            <v>24510180100</v>
          </cell>
          <cell r="B362" t="str">
            <v>Poppleton, Baltimore, MD</v>
          </cell>
          <cell r="C362">
            <v>6.4199999999999993E-2</v>
          </cell>
        </row>
        <row r="363">
          <cell r="A363">
            <v>24510070300</v>
          </cell>
          <cell r="B363" t="str">
            <v>Milton - Montford, Baltimore, MD</v>
          </cell>
          <cell r="C363">
            <v>6.2199999999999998E-2</v>
          </cell>
        </row>
        <row r="364">
          <cell r="A364">
            <v>24510250204</v>
          </cell>
          <cell r="B364" t="str">
            <v>Cherry Hill, Baltimore, MD</v>
          </cell>
          <cell r="C364">
            <v>0.06</v>
          </cell>
        </row>
        <row r="365">
          <cell r="A365">
            <v>24510080600</v>
          </cell>
          <cell r="B365" t="str">
            <v>Broadway East, Baltimore, MD</v>
          </cell>
          <cell r="C365">
            <v>5.62E-2</v>
          </cell>
        </row>
        <row r="366">
          <cell r="A366">
            <v>24510170200</v>
          </cell>
          <cell r="B366" t="str">
            <v>McCulloh Homes, Baltimore, MD</v>
          </cell>
          <cell r="C366">
            <v>5.5399999999999998E-2</v>
          </cell>
        </row>
        <row r="367">
          <cell r="A367">
            <v>24510150100</v>
          </cell>
          <cell r="B367" t="str">
            <v>Sandtown-Winchester, Baltimore, MD</v>
          </cell>
          <cell r="C367">
            <v>5.2200000000000003E-2</v>
          </cell>
        </row>
        <row r="368">
          <cell r="A368">
            <v>24510160400</v>
          </cell>
          <cell r="B368" t="str">
            <v>Midtown Edmondson, Baltimore, MD</v>
          </cell>
          <cell r="C368">
            <v>5.0999999999999997E-2</v>
          </cell>
        </row>
        <row r="369">
          <cell r="A369">
            <v>24510190100</v>
          </cell>
          <cell r="B369" t="str">
            <v>Franklin Square, Baltimore, MD</v>
          </cell>
          <cell r="C369">
            <v>4.3499999999999997E-2</v>
          </cell>
        </row>
        <row r="370">
          <cell r="A370">
            <v>24510280500</v>
          </cell>
          <cell r="B370" t="str">
            <v>Pleasant View Gardens, Baltimore, MD</v>
          </cell>
          <cell r="C370">
            <v>4.2000000000000003E-2</v>
          </cell>
        </row>
        <row r="371">
          <cell r="A371">
            <v>24510100100</v>
          </cell>
          <cell r="B371" t="str">
            <v>Johnson Square, Baltimore, MD</v>
          </cell>
          <cell r="C371">
            <v>2.9100000000000001E-2</v>
          </cell>
        </row>
        <row r="372">
          <cell r="A372">
            <v>24510160300</v>
          </cell>
          <cell r="B372" t="str">
            <v>Sandtown-Winchester, Baltimore, MD</v>
          </cell>
          <cell r="C372">
            <v>2.2599999999999999E-2</v>
          </cell>
        </row>
        <row r="373">
          <cell r="A373">
            <v>24510200100</v>
          </cell>
          <cell r="B373" t="str">
            <v>Lexington, Baltimore, MD</v>
          </cell>
          <cell r="C373">
            <v>1.7600000000000001E-2</v>
          </cell>
        </row>
        <row r="374">
          <cell r="A374">
            <v>24005492500</v>
          </cell>
          <cell r="B374" t="str">
            <v>Baltimore, MD</v>
          </cell>
        </row>
        <row r="375">
          <cell r="A375">
            <v>24005490605</v>
          </cell>
          <cell r="B375" t="str">
            <v>Towson, MD</v>
          </cell>
        </row>
        <row r="376">
          <cell r="A376">
            <v>24005980200</v>
          </cell>
          <cell r="B376" t="str">
            <v>Lansdowne - Baltimore Highlands, Halethorpe, MD</v>
          </cell>
        </row>
        <row r="377">
          <cell r="A377">
            <v>24510100300</v>
          </cell>
          <cell r="B377" t="str">
            <v>Penn - Fallsway, Baltimore, MD</v>
          </cell>
        </row>
        <row r="378">
          <cell r="A378">
            <v>24003980000</v>
          </cell>
          <cell r="B378" t="str">
            <v>Linthicum Heights, MD</v>
          </cell>
        </row>
      </sheetData>
    </sheetDataSet>
  </externalBook>
</externalLink>
</file>

<file path=xl/externalLinks/externalLink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own_tract_median_rent2016"/>
    </sheetNames>
    <sheetDataSet>
      <sheetData sheetId="0" refreshError="1">
        <row r="2">
          <cell r="A2">
            <v>24027606706</v>
          </cell>
          <cell r="B2" t="str">
            <v>Kendall Ridge, Columbia, MD</v>
          </cell>
          <cell r="C2">
            <v>2120</v>
          </cell>
        </row>
        <row r="3">
          <cell r="A3">
            <v>24510260900</v>
          </cell>
          <cell r="B3" t="str">
            <v>Baltimore, MD</v>
          </cell>
          <cell r="C3">
            <v>2070</v>
          </cell>
        </row>
        <row r="4">
          <cell r="A4">
            <v>24005440600</v>
          </cell>
          <cell r="B4" t="str">
            <v>Rosedale, MD</v>
          </cell>
          <cell r="C4">
            <v>2058</v>
          </cell>
        </row>
        <row r="5">
          <cell r="A5">
            <v>24510240200</v>
          </cell>
          <cell r="B5" t="str">
            <v>Riverside, Baltimore, MD</v>
          </cell>
          <cell r="C5">
            <v>2054</v>
          </cell>
        </row>
        <row r="6">
          <cell r="A6">
            <v>24027601108</v>
          </cell>
          <cell r="B6" t="str">
            <v>Ellicott City, MD</v>
          </cell>
          <cell r="C6">
            <v>1989</v>
          </cell>
        </row>
        <row r="7">
          <cell r="A7">
            <v>24510020300</v>
          </cell>
          <cell r="B7" t="str">
            <v>Fells Point, Baltimore, MD</v>
          </cell>
          <cell r="C7">
            <v>1984</v>
          </cell>
        </row>
        <row r="8">
          <cell r="A8">
            <v>24510240100</v>
          </cell>
          <cell r="B8" t="str">
            <v>Locust Point, Baltimore, MD</v>
          </cell>
          <cell r="C8">
            <v>1984</v>
          </cell>
        </row>
        <row r="9">
          <cell r="A9">
            <v>24027601203</v>
          </cell>
          <cell r="B9" t="str">
            <v>Elkridge, MD</v>
          </cell>
          <cell r="C9">
            <v>1914</v>
          </cell>
        </row>
        <row r="10">
          <cell r="A10">
            <v>24510240400</v>
          </cell>
          <cell r="B10" t="str">
            <v>Riverside Park, Baltimore, MD</v>
          </cell>
          <cell r="C10">
            <v>1902</v>
          </cell>
        </row>
        <row r="11">
          <cell r="A11">
            <v>24510010300</v>
          </cell>
          <cell r="B11" t="str">
            <v>Canton, Baltimore, MD</v>
          </cell>
          <cell r="C11">
            <v>1897</v>
          </cell>
        </row>
        <row r="12">
          <cell r="A12">
            <v>24510030200</v>
          </cell>
          <cell r="B12" t="str">
            <v>Little Italy, Baltimore, MD</v>
          </cell>
          <cell r="C12">
            <v>1850</v>
          </cell>
        </row>
        <row r="13">
          <cell r="A13">
            <v>24027602100</v>
          </cell>
          <cell r="B13" t="str">
            <v>Ellicott City, MD</v>
          </cell>
          <cell r="C13">
            <v>1847</v>
          </cell>
        </row>
        <row r="14">
          <cell r="A14">
            <v>24005400100</v>
          </cell>
          <cell r="B14" t="str">
            <v>Catonsville, MD</v>
          </cell>
          <cell r="C14">
            <v>1842</v>
          </cell>
        </row>
        <row r="15">
          <cell r="A15">
            <v>24005403100</v>
          </cell>
          <cell r="B15" t="str">
            <v>Gwynn Oak, Pikesville, MD</v>
          </cell>
          <cell r="C15">
            <v>1836</v>
          </cell>
        </row>
        <row r="16">
          <cell r="A16">
            <v>24027601103</v>
          </cell>
          <cell r="B16" t="str">
            <v>West Elkridge, Elkridge, MD</v>
          </cell>
          <cell r="C16">
            <v>1802</v>
          </cell>
        </row>
        <row r="17">
          <cell r="A17">
            <v>24510230300</v>
          </cell>
          <cell r="B17" t="str">
            <v>South Baltimore, Baltimore, MD</v>
          </cell>
          <cell r="C17">
            <v>1802</v>
          </cell>
        </row>
        <row r="18">
          <cell r="A18">
            <v>24510010400</v>
          </cell>
          <cell r="B18" t="str">
            <v>Canton, Baltimore, MD</v>
          </cell>
          <cell r="C18">
            <v>1796</v>
          </cell>
        </row>
        <row r="19">
          <cell r="A19">
            <v>24510010100</v>
          </cell>
          <cell r="B19" t="str">
            <v>Canton, Baltimore, MD</v>
          </cell>
          <cell r="C19">
            <v>1770</v>
          </cell>
        </row>
        <row r="20">
          <cell r="A20">
            <v>24025306500</v>
          </cell>
          <cell r="B20" t="str">
            <v>Aberdeen Proving Ground, MD</v>
          </cell>
          <cell r="C20">
            <v>1761</v>
          </cell>
        </row>
        <row r="21">
          <cell r="A21">
            <v>24510240300</v>
          </cell>
          <cell r="B21" t="str">
            <v>Riverside, Baltimore, MD</v>
          </cell>
          <cell r="C21">
            <v>1741</v>
          </cell>
        </row>
        <row r="22">
          <cell r="A22">
            <v>24005451701</v>
          </cell>
          <cell r="B22" t="str">
            <v>Middle River, MD</v>
          </cell>
          <cell r="C22">
            <v>1729</v>
          </cell>
        </row>
        <row r="23">
          <cell r="A23">
            <v>24005411308</v>
          </cell>
          <cell r="B23" t="str">
            <v>Nottingham, MD</v>
          </cell>
          <cell r="C23">
            <v>1719</v>
          </cell>
        </row>
        <row r="24">
          <cell r="A24">
            <v>24510230200</v>
          </cell>
          <cell r="B24" t="str">
            <v>South Baltimore, Baltimore, MD</v>
          </cell>
          <cell r="C24">
            <v>1718</v>
          </cell>
        </row>
        <row r="25">
          <cell r="A25">
            <v>24005402603</v>
          </cell>
          <cell r="B25" t="str">
            <v>Randallstown, MD</v>
          </cell>
          <cell r="C25">
            <v>1713</v>
          </cell>
        </row>
        <row r="26">
          <cell r="A26">
            <v>24510010200</v>
          </cell>
          <cell r="B26" t="str">
            <v>Patterson Park, Baltimore, MD</v>
          </cell>
          <cell r="C26">
            <v>1690</v>
          </cell>
        </row>
        <row r="27">
          <cell r="A27">
            <v>24003730100</v>
          </cell>
          <cell r="B27" t="str">
            <v>Chestnut Hill Cove, Riviera Beach, MD</v>
          </cell>
          <cell r="C27">
            <v>1688</v>
          </cell>
        </row>
        <row r="28">
          <cell r="A28">
            <v>24027601204</v>
          </cell>
          <cell r="B28" t="str">
            <v>Elkridge, MD</v>
          </cell>
          <cell r="C28">
            <v>1687</v>
          </cell>
        </row>
        <row r="29">
          <cell r="A29">
            <v>24005490400</v>
          </cell>
          <cell r="B29" t="str">
            <v>Towson, MD</v>
          </cell>
          <cell r="C29">
            <v>1686</v>
          </cell>
        </row>
        <row r="30">
          <cell r="A30">
            <v>24510130806</v>
          </cell>
          <cell r="B30" t="str">
            <v>Woodberry, Baltimore, MD</v>
          </cell>
          <cell r="C30">
            <v>1665</v>
          </cell>
        </row>
        <row r="31">
          <cell r="A31">
            <v>24005451100</v>
          </cell>
          <cell r="B31" t="str">
            <v>Essex, MD</v>
          </cell>
          <cell r="C31">
            <v>1664</v>
          </cell>
        </row>
        <row r="32">
          <cell r="A32">
            <v>24005411407</v>
          </cell>
          <cell r="B32" t="str">
            <v>Parkville, MD</v>
          </cell>
          <cell r="C32">
            <v>1663</v>
          </cell>
        </row>
        <row r="33">
          <cell r="A33">
            <v>24027601105</v>
          </cell>
          <cell r="B33" t="str">
            <v>Ellicott City, MD</v>
          </cell>
          <cell r="C33">
            <v>1661</v>
          </cell>
        </row>
        <row r="34">
          <cell r="A34">
            <v>24005403803</v>
          </cell>
          <cell r="B34" t="str">
            <v>Pikesville, MD</v>
          </cell>
          <cell r="C34">
            <v>1656</v>
          </cell>
        </row>
        <row r="35">
          <cell r="A35">
            <v>24005411306</v>
          </cell>
          <cell r="B35" t="str">
            <v>Nottingham, MD</v>
          </cell>
          <cell r="C35">
            <v>1651</v>
          </cell>
        </row>
        <row r="36">
          <cell r="A36">
            <v>24027601107</v>
          </cell>
          <cell r="B36" t="str">
            <v>Waterloo, Elkridge, MD</v>
          </cell>
          <cell r="C36">
            <v>1637</v>
          </cell>
        </row>
        <row r="37">
          <cell r="A37">
            <v>24005401503</v>
          </cell>
          <cell r="B37" t="str">
            <v>Catonsville, MD</v>
          </cell>
          <cell r="C37">
            <v>1635</v>
          </cell>
        </row>
        <row r="38">
          <cell r="A38">
            <v>24027602700</v>
          </cell>
          <cell r="B38" t="str">
            <v>Taylor Village, Ellicott City, MD</v>
          </cell>
          <cell r="C38">
            <v>1628</v>
          </cell>
        </row>
        <row r="39">
          <cell r="A39">
            <v>24005490500</v>
          </cell>
          <cell r="B39" t="str">
            <v>Towson, MD</v>
          </cell>
          <cell r="C39">
            <v>1626</v>
          </cell>
        </row>
        <row r="40">
          <cell r="A40">
            <v>24005430700</v>
          </cell>
          <cell r="B40" t="str">
            <v>Halethorpe, MD</v>
          </cell>
          <cell r="C40">
            <v>1604</v>
          </cell>
        </row>
        <row r="41">
          <cell r="A41">
            <v>24027602800</v>
          </cell>
          <cell r="B41" t="str">
            <v>Ellicott City, MD</v>
          </cell>
          <cell r="C41">
            <v>1602</v>
          </cell>
        </row>
        <row r="42">
          <cell r="A42">
            <v>24005491000</v>
          </cell>
          <cell r="B42" t="str">
            <v>Baltimore, MD</v>
          </cell>
          <cell r="C42">
            <v>1600</v>
          </cell>
        </row>
        <row r="43">
          <cell r="A43">
            <v>24005402604</v>
          </cell>
          <cell r="B43" t="str">
            <v>Randallstown, MD</v>
          </cell>
          <cell r="C43">
            <v>1596</v>
          </cell>
        </row>
        <row r="44">
          <cell r="A44">
            <v>24003750203</v>
          </cell>
          <cell r="B44" t="str">
            <v>Baltimore, MD</v>
          </cell>
          <cell r="C44">
            <v>1594</v>
          </cell>
        </row>
        <row r="45">
          <cell r="A45">
            <v>24510270102</v>
          </cell>
          <cell r="B45" t="str">
            <v>Waltherson, Baltimore, MD</v>
          </cell>
          <cell r="C45">
            <v>1573</v>
          </cell>
        </row>
        <row r="46">
          <cell r="A46">
            <v>24005402509</v>
          </cell>
          <cell r="B46" t="str">
            <v>Owings Mills, MD</v>
          </cell>
          <cell r="C46">
            <v>1564</v>
          </cell>
        </row>
        <row r="47">
          <cell r="A47">
            <v>24003750801</v>
          </cell>
          <cell r="B47" t="str">
            <v>Glen Burnie, MD</v>
          </cell>
          <cell r="C47">
            <v>1556</v>
          </cell>
        </row>
        <row r="48">
          <cell r="A48">
            <v>24005430104</v>
          </cell>
          <cell r="B48" t="str">
            <v>Lansdowne - Baltimore Highlands, Halethorpe, MD</v>
          </cell>
          <cell r="C48">
            <v>1554</v>
          </cell>
        </row>
        <row r="49">
          <cell r="A49">
            <v>24005402202</v>
          </cell>
          <cell r="B49" t="str">
            <v>Baltimore County, MD</v>
          </cell>
          <cell r="C49">
            <v>1548</v>
          </cell>
        </row>
        <row r="50">
          <cell r="A50">
            <v>24027602600</v>
          </cell>
          <cell r="B50" t="str">
            <v>Ellicott City, MD</v>
          </cell>
          <cell r="C50">
            <v>1544</v>
          </cell>
        </row>
        <row r="51">
          <cell r="A51">
            <v>24005401504</v>
          </cell>
          <cell r="B51" t="str">
            <v>Catonsville, MD</v>
          </cell>
          <cell r="C51">
            <v>1518</v>
          </cell>
        </row>
        <row r="52">
          <cell r="A52">
            <v>24005403201</v>
          </cell>
          <cell r="B52" t="str">
            <v>Gwynn Oak, Lochearn, MD</v>
          </cell>
          <cell r="C52">
            <v>1505</v>
          </cell>
        </row>
        <row r="53">
          <cell r="A53">
            <v>24510010500</v>
          </cell>
          <cell r="B53" t="str">
            <v>Upper Fells Point, Baltimore, MD</v>
          </cell>
          <cell r="C53">
            <v>1492</v>
          </cell>
        </row>
        <row r="54">
          <cell r="A54">
            <v>24005403702</v>
          </cell>
          <cell r="B54" t="str">
            <v>Pikesville, MD</v>
          </cell>
          <cell r="C54">
            <v>1487</v>
          </cell>
        </row>
        <row r="55">
          <cell r="A55">
            <v>24005403602</v>
          </cell>
          <cell r="B55" t="str">
            <v>Baltimore, MD</v>
          </cell>
          <cell r="C55">
            <v>1483</v>
          </cell>
        </row>
        <row r="56">
          <cell r="A56">
            <v>24027602900</v>
          </cell>
          <cell r="B56" t="str">
            <v>Normandy, Ellicott City, MD</v>
          </cell>
          <cell r="C56">
            <v>1461</v>
          </cell>
        </row>
        <row r="57">
          <cell r="A57">
            <v>24510040100</v>
          </cell>
          <cell r="B57" t="str">
            <v>Downtown, Baltimore, MD</v>
          </cell>
          <cell r="C57">
            <v>1445</v>
          </cell>
        </row>
        <row r="58">
          <cell r="A58">
            <v>24027601201</v>
          </cell>
          <cell r="B58" t="str">
            <v>Elkridge, MD</v>
          </cell>
          <cell r="C58">
            <v>1438</v>
          </cell>
        </row>
        <row r="59">
          <cell r="A59">
            <v>24005400400</v>
          </cell>
          <cell r="B59" t="str">
            <v>Catonsville, MD</v>
          </cell>
          <cell r="C59">
            <v>1434</v>
          </cell>
        </row>
        <row r="60">
          <cell r="A60">
            <v>24005440702</v>
          </cell>
          <cell r="B60" t="str">
            <v>Rosedale, MD</v>
          </cell>
          <cell r="C60">
            <v>1428</v>
          </cell>
        </row>
        <row r="61">
          <cell r="A61">
            <v>24510060300</v>
          </cell>
          <cell r="B61" t="str">
            <v>Butchers Hill, Baltimore, MD</v>
          </cell>
          <cell r="C61">
            <v>1419</v>
          </cell>
        </row>
        <row r="62">
          <cell r="A62">
            <v>24005491202</v>
          </cell>
          <cell r="B62" t="str">
            <v>Towson, MD</v>
          </cell>
          <cell r="C62">
            <v>1414</v>
          </cell>
        </row>
        <row r="63">
          <cell r="A63">
            <v>24005420100</v>
          </cell>
          <cell r="B63" t="str">
            <v>Dundalk, MD</v>
          </cell>
          <cell r="C63">
            <v>1400</v>
          </cell>
        </row>
        <row r="64">
          <cell r="A64">
            <v>24005401301</v>
          </cell>
          <cell r="B64" t="str">
            <v>Woodlawn, MD</v>
          </cell>
          <cell r="C64">
            <v>1391</v>
          </cell>
        </row>
        <row r="65">
          <cell r="A65">
            <v>24005490601</v>
          </cell>
          <cell r="B65" t="str">
            <v>Baltimore, MD</v>
          </cell>
          <cell r="C65">
            <v>1389</v>
          </cell>
        </row>
        <row r="66">
          <cell r="A66">
            <v>24005403701</v>
          </cell>
          <cell r="B66" t="str">
            <v>Owings Mills, MD</v>
          </cell>
          <cell r="C66">
            <v>1389</v>
          </cell>
        </row>
        <row r="67">
          <cell r="A67">
            <v>24005402406</v>
          </cell>
          <cell r="B67" t="str">
            <v>Windsor Mill, Milford Mill, MD</v>
          </cell>
          <cell r="C67">
            <v>1389</v>
          </cell>
        </row>
        <row r="68">
          <cell r="A68">
            <v>24005403401</v>
          </cell>
          <cell r="B68" t="str">
            <v>Pikesville, MD</v>
          </cell>
          <cell r="C68">
            <v>1388</v>
          </cell>
        </row>
        <row r="69">
          <cell r="A69">
            <v>24005452500</v>
          </cell>
          <cell r="B69" t="str">
            <v>Dundalk, MD</v>
          </cell>
          <cell r="C69">
            <v>1387</v>
          </cell>
        </row>
        <row r="70">
          <cell r="A70">
            <v>24510130600</v>
          </cell>
          <cell r="B70" t="str">
            <v>Hampden, Baltimore, MD</v>
          </cell>
          <cell r="C70">
            <v>1375</v>
          </cell>
        </row>
        <row r="71">
          <cell r="A71">
            <v>24510060200</v>
          </cell>
          <cell r="B71" t="str">
            <v>Baltimore, MD</v>
          </cell>
          <cell r="C71">
            <v>1371</v>
          </cell>
        </row>
        <row r="72">
          <cell r="A72">
            <v>24510280402</v>
          </cell>
          <cell r="B72" t="str">
            <v>Rognel Heights, Baltimore, MD</v>
          </cell>
          <cell r="C72">
            <v>1369</v>
          </cell>
        </row>
        <row r="73">
          <cell r="A73">
            <v>24005403601</v>
          </cell>
          <cell r="B73" t="str">
            <v>Baltimore, MD</v>
          </cell>
          <cell r="C73">
            <v>1367</v>
          </cell>
        </row>
        <row r="74">
          <cell r="A74">
            <v>24510270902</v>
          </cell>
          <cell r="B74" t="str">
            <v>Perring Loch, Baltimore, MD</v>
          </cell>
          <cell r="C74">
            <v>1360</v>
          </cell>
        </row>
        <row r="75">
          <cell r="A75">
            <v>24005451200</v>
          </cell>
          <cell r="B75" t="str">
            <v>Middle River, MD</v>
          </cell>
          <cell r="C75">
            <v>1353</v>
          </cell>
        </row>
        <row r="76">
          <cell r="A76">
            <v>24005401101</v>
          </cell>
          <cell r="B76" t="str">
            <v>Woodlawn, MD</v>
          </cell>
          <cell r="C76">
            <v>1351</v>
          </cell>
        </row>
        <row r="77">
          <cell r="A77">
            <v>24003750300</v>
          </cell>
          <cell r="B77" t="str">
            <v>Linthicum Heights, MD</v>
          </cell>
          <cell r="C77">
            <v>1349</v>
          </cell>
        </row>
        <row r="78">
          <cell r="A78">
            <v>24005403202</v>
          </cell>
          <cell r="B78" t="str">
            <v>Gwynn Oak, Baltimore, MD</v>
          </cell>
          <cell r="C78">
            <v>1347</v>
          </cell>
        </row>
        <row r="79">
          <cell r="A79">
            <v>24510230100</v>
          </cell>
          <cell r="B79" t="str">
            <v>Baltimore, MD</v>
          </cell>
          <cell r="C79">
            <v>1344</v>
          </cell>
        </row>
        <row r="80">
          <cell r="A80">
            <v>24510210100</v>
          </cell>
          <cell r="B80" t="str">
            <v>Pigtown, Baltimore, MD</v>
          </cell>
          <cell r="C80">
            <v>1341</v>
          </cell>
        </row>
        <row r="81">
          <cell r="A81">
            <v>24005421102</v>
          </cell>
          <cell r="B81" t="str">
            <v>Dundalk, MD</v>
          </cell>
          <cell r="C81">
            <v>1340</v>
          </cell>
        </row>
        <row r="82">
          <cell r="A82">
            <v>24005403300</v>
          </cell>
          <cell r="B82" t="str">
            <v>Lochearn, Pikesville, MD</v>
          </cell>
          <cell r="C82">
            <v>1340</v>
          </cell>
        </row>
        <row r="83">
          <cell r="A83">
            <v>24510220100</v>
          </cell>
          <cell r="B83" t="str">
            <v>Baltimore, MD</v>
          </cell>
          <cell r="C83">
            <v>1339</v>
          </cell>
        </row>
        <row r="84">
          <cell r="A84">
            <v>24003750803</v>
          </cell>
          <cell r="B84" t="str">
            <v>Glen Burnie, MD</v>
          </cell>
          <cell r="C84">
            <v>1337</v>
          </cell>
        </row>
        <row r="85">
          <cell r="A85">
            <v>24003751103</v>
          </cell>
          <cell r="B85" t="str">
            <v>Glen Burnie, MD</v>
          </cell>
          <cell r="C85">
            <v>1336</v>
          </cell>
        </row>
        <row r="86">
          <cell r="A86">
            <v>24005451702</v>
          </cell>
          <cell r="B86" t="str">
            <v>Middle River, MD</v>
          </cell>
          <cell r="C86">
            <v>1332</v>
          </cell>
        </row>
        <row r="87">
          <cell r="A87">
            <v>24005441000</v>
          </cell>
          <cell r="B87" t="str">
            <v>Baltimore, MD</v>
          </cell>
          <cell r="C87">
            <v>1324</v>
          </cell>
        </row>
        <row r="88">
          <cell r="A88">
            <v>24005411307</v>
          </cell>
          <cell r="B88" t="str">
            <v>Nottingham, MD</v>
          </cell>
          <cell r="C88">
            <v>1322</v>
          </cell>
        </row>
        <row r="89">
          <cell r="A89">
            <v>24005450900</v>
          </cell>
          <cell r="B89" t="str">
            <v>Essex, MD</v>
          </cell>
          <cell r="C89">
            <v>1322</v>
          </cell>
        </row>
        <row r="90">
          <cell r="A90">
            <v>24005420402</v>
          </cell>
          <cell r="B90" t="str">
            <v>Dundalk, MD</v>
          </cell>
          <cell r="C90">
            <v>1314</v>
          </cell>
        </row>
        <row r="91">
          <cell r="A91">
            <v>24005491300</v>
          </cell>
          <cell r="B91" t="str">
            <v>Baltimore, MD</v>
          </cell>
          <cell r="C91">
            <v>1311</v>
          </cell>
        </row>
        <row r="92">
          <cell r="A92">
            <v>24005451900</v>
          </cell>
          <cell r="B92" t="str">
            <v>Edgemere, MD</v>
          </cell>
          <cell r="C92">
            <v>1310</v>
          </cell>
        </row>
        <row r="93">
          <cell r="A93">
            <v>24510150701</v>
          </cell>
          <cell r="B93" t="str">
            <v>Hanlon Longwood, Baltimore, MD</v>
          </cell>
          <cell r="C93">
            <v>1307</v>
          </cell>
        </row>
        <row r="94">
          <cell r="A94">
            <v>24510271400</v>
          </cell>
          <cell r="B94" t="str">
            <v>Evergreen, Baltimore, MD</v>
          </cell>
          <cell r="C94">
            <v>1304</v>
          </cell>
        </row>
        <row r="95">
          <cell r="A95">
            <v>24510260301</v>
          </cell>
          <cell r="B95" t="str">
            <v>Belair - Edison, Baltimore, MD</v>
          </cell>
          <cell r="C95">
            <v>1303</v>
          </cell>
        </row>
        <row r="96">
          <cell r="A96">
            <v>24003750102</v>
          </cell>
          <cell r="B96" t="str">
            <v>Baltimore, MD</v>
          </cell>
          <cell r="C96">
            <v>1299</v>
          </cell>
        </row>
        <row r="97">
          <cell r="A97">
            <v>24005402307</v>
          </cell>
          <cell r="B97" t="str">
            <v>Pikesville, MD</v>
          </cell>
          <cell r="C97">
            <v>1292</v>
          </cell>
        </row>
        <row r="98">
          <cell r="A98">
            <v>24510271503</v>
          </cell>
          <cell r="B98" t="str">
            <v>Cross Keys, Baltimore, MD</v>
          </cell>
          <cell r="C98">
            <v>1289</v>
          </cell>
        </row>
        <row r="99">
          <cell r="A99">
            <v>24510260700</v>
          </cell>
          <cell r="B99" t="str">
            <v>Fifteenth Street, Baltimore, MD</v>
          </cell>
          <cell r="C99">
            <v>1288</v>
          </cell>
        </row>
        <row r="100">
          <cell r="A100">
            <v>24003751102</v>
          </cell>
          <cell r="B100" t="str">
            <v>Glen Burnie, MD</v>
          </cell>
          <cell r="C100">
            <v>1285</v>
          </cell>
        </row>
        <row r="101">
          <cell r="A101">
            <v>24005490800</v>
          </cell>
          <cell r="B101" t="str">
            <v>Towson, MD</v>
          </cell>
          <cell r="C101">
            <v>1280</v>
          </cell>
        </row>
        <row r="102">
          <cell r="A102">
            <v>24005451401</v>
          </cell>
          <cell r="B102" t="str">
            <v>Middle River, MD</v>
          </cell>
          <cell r="C102">
            <v>1278</v>
          </cell>
        </row>
        <row r="103">
          <cell r="A103">
            <v>24510090600</v>
          </cell>
          <cell r="B103" t="str">
            <v>Coldstream - Homestead - Montebello, Baltimore, MD</v>
          </cell>
          <cell r="C103">
            <v>1268</v>
          </cell>
        </row>
        <row r="104">
          <cell r="A104">
            <v>24510020100</v>
          </cell>
          <cell r="B104" t="str">
            <v>Upper Fells Point, Baltimore, MD</v>
          </cell>
          <cell r="C104">
            <v>1259</v>
          </cell>
        </row>
        <row r="105">
          <cell r="A105">
            <v>24005402407</v>
          </cell>
          <cell r="B105" t="str">
            <v>Windsor Mill, Milford Mill, MD</v>
          </cell>
          <cell r="C105">
            <v>1258</v>
          </cell>
        </row>
        <row r="106">
          <cell r="A106">
            <v>24510210200</v>
          </cell>
          <cell r="B106" t="str">
            <v>Pigtown, Baltimore, MD</v>
          </cell>
          <cell r="C106">
            <v>1257</v>
          </cell>
        </row>
        <row r="107">
          <cell r="A107">
            <v>24005420401</v>
          </cell>
          <cell r="B107" t="str">
            <v>Dundalk, MD</v>
          </cell>
          <cell r="C107">
            <v>1250</v>
          </cell>
        </row>
        <row r="108">
          <cell r="A108">
            <v>24510271300</v>
          </cell>
          <cell r="B108" t="str">
            <v>Roland Park, Baltimore, MD</v>
          </cell>
          <cell r="C108">
            <v>1248</v>
          </cell>
        </row>
        <row r="109">
          <cell r="A109">
            <v>24005492002</v>
          </cell>
          <cell r="B109" t="str">
            <v>Parkville, MD</v>
          </cell>
          <cell r="C109">
            <v>1245</v>
          </cell>
        </row>
        <row r="110">
          <cell r="A110">
            <v>24005490605</v>
          </cell>
          <cell r="B110" t="str">
            <v>Towson, MD</v>
          </cell>
          <cell r="C110">
            <v>1240</v>
          </cell>
        </row>
        <row r="111">
          <cell r="A111">
            <v>24003750804</v>
          </cell>
          <cell r="B111" t="str">
            <v>Glen Burnie, MD</v>
          </cell>
          <cell r="C111">
            <v>1237</v>
          </cell>
        </row>
        <row r="112">
          <cell r="A112">
            <v>24005401506</v>
          </cell>
          <cell r="B112" t="str">
            <v>Windsor Mill, Baltimore, MD</v>
          </cell>
          <cell r="C112">
            <v>1233</v>
          </cell>
        </row>
        <row r="113">
          <cell r="A113">
            <v>24510270801</v>
          </cell>
          <cell r="B113" t="str">
            <v>Idlewood, Baltimore, MD</v>
          </cell>
          <cell r="C113">
            <v>1231</v>
          </cell>
        </row>
        <row r="114">
          <cell r="A114">
            <v>24005402602</v>
          </cell>
          <cell r="B114" t="str">
            <v>Randallstown, MD</v>
          </cell>
          <cell r="C114">
            <v>1231</v>
          </cell>
        </row>
        <row r="115">
          <cell r="A115">
            <v>24510261100</v>
          </cell>
          <cell r="B115" t="str">
            <v>Canton, Baltimore, MD</v>
          </cell>
          <cell r="C115">
            <v>1230</v>
          </cell>
        </row>
        <row r="116">
          <cell r="A116">
            <v>24005420600</v>
          </cell>
          <cell r="B116" t="str">
            <v>Baltimore, MD</v>
          </cell>
          <cell r="C116">
            <v>1228</v>
          </cell>
        </row>
        <row r="117">
          <cell r="A117">
            <v>24005451500</v>
          </cell>
          <cell r="B117" t="str">
            <v>Middle River, MD</v>
          </cell>
          <cell r="C117">
            <v>1224</v>
          </cell>
        </row>
        <row r="118">
          <cell r="A118">
            <v>24005451600</v>
          </cell>
          <cell r="B118" t="str">
            <v>Middle River, MD</v>
          </cell>
          <cell r="C118">
            <v>1223</v>
          </cell>
        </row>
        <row r="119">
          <cell r="A119">
            <v>24005492001</v>
          </cell>
          <cell r="B119" t="str">
            <v>Parkville, MD</v>
          </cell>
          <cell r="C119">
            <v>1221</v>
          </cell>
        </row>
        <row r="120">
          <cell r="A120">
            <v>24510060100</v>
          </cell>
          <cell r="B120" t="str">
            <v>Patterson Park, Baltimore, MD</v>
          </cell>
          <cell r="C120">
            <v>1218</v>
          </cell>
        </row>
        <row r="121">
          <cell r="A121">
            <v>24005490602</v>
          </cell>
          <cell r="B121" t="str">
            <v>Baltimore, MD</v>
          </cell>
          <cell r="C121">
            <v>1217</v>
          </cell>
        </row>
        <row r="122">
          <cell r="A122">
            <v>24510040200</v>
          </cell>
          <cell r="B122" t="str">
            <v>Downtown, Baltimore, MD</v>
          </cell>
          <cell r="C122">
            <v>1217</v>
          </cell>
        </row>
        <row r="123">
          <cell r="A123">
            <v>24510271501</v>
          </cell>
          <cell r="B123" t="str">
            <v>Mount Washington, Baltimore, MD</v>
          </cell>
          <cell r="C123">
            <v>1212</v>
          </cell>
        </row>
        <row r="124">
          <cell r="A124">
            <v>24510160802</v>
          </cell>
          <cell r="B124" t="str">
            <v>Edmondson, Baltimore, MD</v>
          </cell>
          <cell r="C124">
            <v>1211</v>
          </cell>
        </row>
        <row r="125">
          <cell r="A125">
            <v>24005402304</v>
          </cell>
          <cell r="B125" t="str">
            <v>Gwynn Oak, Baltimore, MD</v>
          </cell>
          <cell r="C125">
            <v>1206</v>
          </cell>
        </row>
        <row r="126">
          <cell r="A126">
            <v>24510120100</v>
          </cell>
          <cell r="B126" t="str">
            <v>Tuscany - Canterbury, Baltimore, MD</v>
          </cell>
          <cell r="C126">
            <v>1201</v>
          </cell>
        </row>
        <row r="127">
          <cell r="A127">
            <v>24005401000</v>
          </cell>
          <cell r="B127" t="str">
            <v>Catonsville, MD</v>
          </cell>
          <cell r="C127">
            <v>1198</v>
          </cell>
        </row>
        <row r="128">
          <cell r="A128">
            <v>24005440100</v>
          </cell>
          <cell r="B128" t="str">
            <v>Baltimore, MD</v>
          </cell>
          <cell r="C128">
            <v>1197</v>
          </cell>
        </row>
        <row r="129">
          <cell r="A129">
            <v>24005402506</v>
          </cell>
          <cell r="B129" t="str">
            <v>Randallstown, MD</v>
          </cell>
          <cell r="C129">
            <v>1196</v>
          </cell>
        </row>
        <row r="130">
          <cell r="A130">
            <v>24510260404</v>
          </cell>
          <cell r="B130" t="str">
            <v>Baltimore Highlands, Baltimore, MD</v>
          </cell>
          <cell r="C130">
            <v>1193</v>
          </cell>
        </row>
        <row r="131">
          <cell r="A131">
            <v>24005452100</v>
          </cell>
          <cell r="B131" t="str">
            <v>Sparrows Point, MD</v>
          </cell>
          <cell r="C131">
            <v>1183</v>
          </cell>
        </row>
        <row r="132">
          <cell r="A132">
            <v>24005492300</v>
          </cell>
          <cell r="B132" t="str">
            <v>Essex, MD</v>
          </cell>
          <cell r="C132">
            <v>1179</v>
          </cell>
        </row>
        <row r="133">
          <cell r="A133">
            <v>24005430600</v>
          </cell>
          <cell r="B133" t="str">
            <v>Relay, Halethorpe, MD</v>
          </cell>
          <cell r="C133">
            <v>1175</v>
          </cell>
        </row>
        <row r="134">
          <cell r="A134">
            <v>24005452300</v>
          </cell>
          <cell r="B134" t="str">
            <v>Baltimore, MD</v>
          </cell>
          <cell r="C134">
            <v>1175</v>
          </cell>
        </row>
        <row r="135">
          <cell r="A135">
            <v>24005490603</v>
          </cell>
          <cell r="B135" t="str">
            <v>Baltimore, MD</v>
          </cell>
          <cell r="C135">
            <v>1175</v>
          </cell>
        </row>
        <row r="136">
          <cell r="A136">
            <v>24005420302</v>
          </cell>
          <cell r="B136" t="str">
            <v>Dundalk, MD</v>
          </cell>
          <cell r="C136">
            <v>1174</v>
          </cell>
        </row>
        <row r="137">
          <cell r="A137">
            <v>24005440400</v>
          </cell>
          <cell r="B137" t="str">
            <v>Baltimore, MD</v>
          </cell>
          <cell r="C137">
            <v>1173</v>
          </cell>
        </row>
        <row r="138">
          <cell r="A138">
            <v>24510080101</v>
          </cell>
          <cell r="B138" t="str">
            <v>Belair - Edison, Baltimore, MD</v>
          </cell>
          <cell r="C138">
            <v>1173</v>
          </cell>
        </row>
        <row r="139">
          <cell r="A139">
            <v>24005441102</v>
          </cell>
          <cell r="B139" t="str">
            <v>Rosedale, MD</v>
          </cell>
          <cell r="C139">
            <v>1173</v>
          </cell>
        </row>
        <row r="140">
          <cell r="A140">
            <v>24005440800</v>
          </cell>
          <cell r="B140" t="str">
            <v>Rosedale, MD</v>
          </cell>
          <cell r="C140">
            <v>1172</v>
          </cell>
        </row>
        <row r="141">
          <cell r="A141">
            <v>24003750400</v>
          </cell>
          <cell r="B141" t="str">
            <v>Linthicum Heights, MD</v>
          </cell>
          <cell r="C141">
            <v>1170</v>
          </cell>
        </row>
        <row r="142">
          <cell r="A142">
            <v>24510270301</v>
          </cell>
          <cell r="B142" t="str">
            <v>Lauraville, Baltimore, MD</v>
          </cell>
          <cell r="C142">
            <v>1169</v>
          </cell>
        </row>
        <row r="143">
          <cell r="A143">
            <v>24005492500</v>
          </cell>
          <cell r="B143" t="str">
            <v>Baltimore, MD</v>
          </cell>
          <cell r="C143">
            <v>1165</v>
          </cell>
        </row>
        <row r="144">
          <cell r="A144">
            <v>24005401507</v>
          </cell>
          <cell r="B144" t="str">
            <v>Windsor Mill, Baltimore, MD</v>
          </cell>
          <cell r="C144">
            <v>1165</v>
          </cell>
        </row>
        <row r="145">
          <cell r="A145">
            <v>24510080102</v>
          </cell>
          <cell r="B145" t="str">
            <v>Belair - Edison, Baltimore, MD</v>
          </cell>
          <cell r="C145">
            <v>1165</v>
          </cell>
        </row>
        <row r="146">
          <cell r="A146">
            <v>24005403500</v>
          </cell>
          <cell r="B146" t="str">
            <v>Pikesville, MD</v>
          </cell>
          <cell r="C146">
            <v>1162</v>
          </cell>
        </row>
        <row r="147">
          <cell r="A147">
            <v>24005400702</v>
          </cell>
          <cell r="B147" t="str">
            <v>Baltimore, MD</v>
          </cell>
          <cell r="C147">
            <v>1160</v>
          </cell>
        </row>
        <row r="148">
          <cell r="A148">
            <v>24005440200</v>
          </cell>
          <cell r="B148" t="str">
            <v>Nottingham, MD</v>
          </cell>
          <cell r="C148">
            <v>1158</v>
          </cell>
        </row>
        <row r="149">
          <cell r="A149">
            <v>24005400800</v>
          </cell>
          <cell r="B149" t="str">
            <v>Catonsville, MD</v>
          </cell>
          <cell r="C149">
            <v>1156</v>
          </cell>
        </row>
        <row r="150">
          <cell r="A150">
            <v>24005450400</v>
          </cell>
          <cell r="B150" t="str">
            <v>Essex, MD</v>
          </cell>
          <cell r="C150">
            <v>1156</v>
          </cell>
        </row>
        <row r="151">
          <cell r="A151">
            <v>24005492101</v>
          </cell>
          <cell r="B151" t="str">
            <v>Parkville, MD</v>
          </cell>
          <cell r="C151">
            <v>1154</v>
          </cell>
        </row>
        <row r="152">
          <cell r="A152">
            <v>24510120201</v>
          </cell>
          <cell r="B152" t="str">
            <v>Baltimore, MD</v>
          </cell>
          <cell r="C152">
            <v>1147</v>
          </cell>
        </row>
        <row r="153">
          <cell r="A153">
            <v>24005440300</v>
          </cell>
          <cell r="B153" t="str">
            <v>Nottingham, MD</v>
          </cell>
          <cell r="C153">
            <v>1147</v>
          </cell>
        </row>
        <row r="154">
          <cell r="A154">
            <v>24005430800</v>
          </cell>
          <cell r="B154" t="str">
            <v>Halethorpe, MD</v>
          </cell>
          <cell r="C154">
            <v>1141</v>
          </cell>
        </row>
        <row r="155">
          <cell r="A155">
            <v>24005401200</v>
          </cell>
          <cell r="B155" t="str">
            <v>Woodlawn, MD</v>
          </cell>
          <cell r="C155">
            <v>1141</v>
          </cell>
        </row>
        <row r="156">
          <cell r="A156">
            <v>24510272005</v>
          </cell>
          <cell r="B156" t="str">
            <v>Cross Country, Baltimore, MD</v>
          </cell>
          <cell r="C156">
            <v>1140</v>
          </cell>
        </row>
        <row r="157">
          <cell r="A157">
            <v>24510020200</v>
          </cell>
          <cell r="B157" t="str">
            <v>Upper Fells Point, Baltimore, MD</v>
          </cell>
          <cell r="C157">
            <v>1138</v>
          </cell>
        </row>
        <row r="158">
          <cell r="A158">
            <v>24005402302</v>
          </cell>
          <cell r="B158" t="str">
            <v>Windsor Mill, Milford Mill, MD</v>
          </cell>
          <cell r="C158">
            <v>1137</v>
          </cell>
        </row>
        <row r="159">
          <cell r="A159">
            <v>24510090800</v>
          </cell>
          <cell r="B159" t="str">
            <v>East Baltimore Midway, Baltimore, MD</v>
          </cell>
          <cell r="C159">
            <v>1132</v>
          </cell>
        </row>
        <row r="160">
          <cell r="A160">
            <v>24510272003</v>
          </cell>
          <cell r="B160" t="str">
            <v>Baltimore, MD</v>
          </cell>
          <cell r="C160">
            <v>1130</v>
          </cell>
        </row>
        <row r="161">
          <cell r="A161">
            <v>24005400701</v>
          </cell>
          <cell r="B161" t="str">
            <v>Catonsville, MD</v>
          </cell>
          <cell r="C161">
            <v>1130</v>
          </cell>
        </row>
        <row r="162">
          <cell r="A162">
            <v>24510110100</v>
          </cell>
          <cell r="B162" t="str">
            <v>Downtown, Baltimore, MD</v>
          </cell>
          <cell r="C162">
            <v>1125</v>
          </cell>
        </row>
        <row r="163">
          <cell r="A163">
            <v>24005402503</v>
          </cell>
          <cell r="B163" t="str">
            <v>Randallstown, MD</v>
          </cell>
          <cell r="C163">
            <v>1125</v>
          </cell>
        </row>
        <row r="164">
          <cell r="A164">
            <v>24510130804</v>
          </cell>
          <cell r="B164" t="str">
            <v>Hampden, Baltimore, MD</v>
          </cell>
          <cell r="C164">
            <v>1125</v>
          </cell>
        </row>
        <row r="165">
          <cell r="A165">
            <v>24025301401</v>
          </cell>
          <cell r="B165" t="str">
            <v>Harford County, MD</v>
          </cell>
          <cell r="C165">
            <v>1123</v>
          </cell>
        </row>
        <row r="166">
          <cell r="A166">
            <v>24510070100</v>
          </cell>
          <cell r="B166" t="str">
            <v>Baltimore, MD</v>
          </cell>
          <cell r="C166">
            <v>1122</v>
          </cell>
        </row>
        <row r="167">
          <cell r="A167">
            <v>24510130803</v>
          </cell>
          <cell r="B167" t="str">
            <v>Medfield, Baltimore, MD</v>
          </cell>
          <cell r="C167">
            <v>1122</v>
          </cell>
        </row>
        <row r="168">
          <cell r="A168">
            <v>24003750201</v>
          </cell>
          <cell r="B168" t="str">
            <v>Brooklyn, Baltimore, MD</v>
          </cell>
          <cell r="C168">
            <v>1120</v>
          </cell>
        </row>
        <row r="169">
          <cell r="A169">
            <v>24003750101</v>
          </cell>
          <cell r="B169" t="str">
            <v>Brooklyn Park, MD</v>
          </cell>
          <cell r="C169">
            <v>1118</v>
          </cell>
        </row>
        <row r="170">
          <cell r="A170">
            <v>24005420500</v>
          </cell>
          <cell r="B170" t="str">
            <v>Baltimore, MD</v>
          </cell>
          <cell r="C170">
            <v>1117</v>
          </cell>
        </row>
        <row r="171">
          <cell r="A171">
            <v>24510280101</v>
          </cell>
          <cell r="B171" t="str">
            <v>Reisterstown Station, Baltimore, MD</v>
          </cell>
          <cell r="C171">
            <v>1116</v>
          </cell>
        </row>
        <row r="172">
          <cell r="A172">
            <v>24510150702</v>
          </cell>
          <cell r="B172" t="str">
            <v>Walbrook, Baltimore, MD</v>
          </cell>
          <cell r="C172">
            <v>1115</v>
          </cell>
        </row>
        <row r="173">
          <cell r="A173">
            <v>24005411408</v>
          </cell>
          <cell r="B173" t="str">
            <v>Nottingham, MD</v>
          </cell>
          <cell r="C173">
            <v>1112</v>
          </cell>
        </row>
        <row r="174">
          <cell r="A174">
            <v>24510200702</v>
          </cell>
          <cell r="B174" t="str">
            <v>Saint Joseph's, Baltimore, MD</v>
          </cell>
          <cell r="C174">
            <v>1112</v>
          </cell>
        </row>
        <row r="175">
          <cell r="A175">
            <v>24510090200</v>
          </cell>
          <cell r="B175" t="str">
            <v>Ednor Gardens - Lakeside, Baltimore, MD</v>
          </cell>
          <cell r="C175">
            <v>1111</v>
          </cell>
        </row>
        <row r="176">
          <cell r="A176">
            <v>24005440701</v>
          </cell>
          <cell r="B176" t="str">
            <v>Rosedale, MD</v>
          </cell>
          <cell r="C176">
            <v>1110</v>
          </cell>
        </row>
        <row r="177">
          <cell r="A177">
            <v>24510090500</v>
          </cell>
          <cell r="B177" t="str">
            <v>Better Waverly, Baltimore, MD</v>
          </cell>
          <cell r="C177">
            <v>1110</v>
          </cell>
        </row>
        <row r="178">
          <cell r="A178">
            <v>24005451803</v>
          </cell>
          <cell r="B178" t="str">
            <v>Middle River, MD</v>
          </cell>
          <cell r="C178">
            <v>1110</v>
          </cell>
        </row>
        <row r="179">
          <cell r="A179">
            <v>24005491402</v>
          </cell>
          <cell r="B179" t="str">
            <v>Parkville, MD</v>
          </cell>
          <cell r="C179">
            <v>1109</v>
          </cell>
        </row>
        <row r="180">
          <cell r="A180">
            <v>24005402303</v>
          </cell>
          <cell r="B180" t="str">
            <v>Windsor Mill, Baltimore, MD</v>
          </cell>
          <cell r="C180">
            <v>1106</v>
          </cell>
        </row>
        <row r="181">
          <cell r="A181">
            <v>24510200100</v>
          </cell>
          <cell r="B181" t="str">
            <v>Lexington, Baltimore, MD</v>
          </cell>
          <cell r="C181">
            <v>1106</v>
          </cell>
        </row>
        <row r="182">
          <cell r="A182">
            <v>24510272007</v>
          </cell>
          <cell r="B182" t="str">
            <v>Fallstaff, Baltimore, MD</v>
          </cell>
          <cell r="C182">
            <v>1105</v>
          </cell>
        </row>
        <row r="183">
          <cell r="A183">
            <v>24005401102</v>
          </cell>
          <cell r="B183" t="str">
            <v>Gwynn Oak, Woodlawn, MD</v>
          </cell>
          <cell r="C183">
            <v>1103</v>
          </cell>
        </row>
        <row r="184">
          <cell r="A184">
            <v>24510120700</v>
          </cell>
          <cell r="B184" t="str">
            <v>Remington, Baltimore, MD</v>
          </cell>
          <cell r="C184">
            <v>1103</v>
          </cell>
        </row>
        <row r="185">
          <cell r="A185">
            <v>24510272004</v>
          </cell>
          <cell r="B185" t="str">
            <v>Cheswolde, Baltimore, MD</v>
          </cell>
          <cell r="C185">
            <v>1100</v>
          </cell>
        </row>
        <row r="186">
          <cell r="A186">
            <v>24510080301</v>
          </cell>
          <cell r="B186" t="str">
            <v>Berea, Baltimore, MD</v>
          </cell>
          <cell r="C186">
            <v>1099</v>
          </cell>
        </row>
        <row r="187">
          <cell r="A187">
            <v>24005402405</v>
          </cell>
          <cell r="B187" t="str">
            <v>Gwynn Oak, Baltimore, MD</v>
          </cell>
          <cell r="C187">
            <v>1095</v>
          </cell>
        </row>
        <row r="188">
          <cell r="A188">
            <v>24005491401</v>
          </cell>
          <cell r="B188" t="str">
            <v>Parkville, MD</v>
          </cell>
          <cell r="C188">
            <v>1095</v>
          </cell>
        </row>
        <row r="189">
          <cell r="A189">
            <v>24510200600</v>
          </cell>
          <cell r="B189" t="str">
            <v>Baltimore, MD</v>
          </cell>
          <cell r="C189">
            <v>1094</v>
          </cell>
        </row>
        <row r="190">
          <cell r="A190">
            <v>24005451402</v>
          </cell>
          <cell r="B190" t="str">
            <v>Middle River, MD</v>
          </cell>
          <cell r="C190">
            <v>1094</v>
          </cell>
        </row>
        <row r="191">
          <cell r="A191">
            <v>24005450503</v>
          </cell>
          <cell r="B191" t="str">
            <v>Essex, MD</v>
          </cell>
          <cell r="C191">
            <v>1091</v>
          </cell>
        </row>
        <row r="192">
          <cell r="A192">
            <v>24510261000</v>
          </cell>
          <cell r="B192" t="str">
            <v>Patterson Park, Baltimore, MD</v>
          </cell>
          <cell r="C192">
            <v>1090</v>
          </cell>
        </row>
        <row r="193">
          <cell r="A193">
            <v>24510080500</v>
          </cell>
          <cell r="B193" t="str">
            <v>Darley Park, Baltimore, MD</v>
          </cell>
          <cell r="C193">
            <v>1090</v>
          </cell>
        </row>
        <row r="194">
          <cell r="A194">
            <v>24005400900</v>
          </cell>
          <cell r="B194" t="str">
            <v>Catonsville, MD</v>
          </cell>
          <cell r="C194">
            <v>1090</v>
          </cell>
        </row>
        <row r="195">
          <cell r="A195">
            <v>24005491500</v>
          </cell>
          <cell r="B195" t="str">
            <v>Parkville, MD</v>
          </cell>
          <cell r="C195">
            <v>1088</v>
          </cell>
        </row>
        <row r="196">
          <cell r="A196">
            <v>24510250205</v>
          </cell>
          <cell r="B196" t="str">
            <v>Lakeland, Baltimore, MD</v>
          </cell>
          <cell r="C196">
            <v>1085</v>
          </cell>
        </row>
        <row r="197">
          <cell r="A197">
            <v>24510120300</v>
          </cell>
          <cell r="B197" t="str">
            <v>Harwood, Baltimore, MD</v>
          </cell>
          <cell r="C197">
            <v>1085</v>
          </cell>
        </row>
        <row r="198">
          <cell r="A198">
            <v>24510260800</v>
          </cell>
          <cell r="B198" t="str">
            <v>Baltimore Highlands, Baltimore, MD</v>
          </cell>
          <cell r="C198">
            <v>1078</v>
          </cell>
        </row>
        <row r="199">
          <cell r="A199">
            <v>24005430300</v>
          </cell>
          <cell r="B199" t="str">
            <v>Lansdowne - Baltimore Highlands, Halethorpe, MD</v>
          </cell>
          <cell r="C199">
            <v>1073</v>
          </cell>
        </row>
        <row r="200">
          <cell r="A200">
            <v>24005430200</v>
          </cell>
          <cell r="B200" t="str">
            <v>Lansdowne - Baltimore Highlands, Lansdowne, MD</v>
          </cell>
          <cell r="C200">
            <v>1072</v>
          </cell>
        </row>
        <row r="201">
          <cell r="A201">
            <v>24005430400</v>
          </cell>
          <cell r="B201" t="str">
            <v>Halethorpe, MD</v>
          </cell>
          <cell r="C201">
            <v>1071</v>
          </cell>
        </row>
        <row r="202">
          <cell r="A202">
            <v>24510130400</v>
          </cell>
          <cell r="B202" t="str">
            <v>Woodbrook, Baltimore, MD</v>
          </cell>
          <cell r="C202">
            <v>1069</v>
          </cell>
        </row>
        <row r="203">
          <cell r="A203">
            <v>24510270803</v>
          </cell>
          <cell r="B203" t="str">
            <v>Loch Raven, Baltimore, MD</v>
          </cell>
          <cell r="C203">
            <v>1065</v>
          </cell>
        </row>
        <row r="204">
          <cell r="A204">
            <v>24005400200</v>
          </cell>
          <cell r="B204" t="str">
            <v>Catonsville, MD</v>
          </cell>
          <cell r="C204">
            <v>1065</v>
          </cell>
        </row>
        <row r="205">
          <cell r="A205">
            <v>24510250203</v>
          </cell>
          <cell r="B205" t="str">
            <v>Cherry Hill, Baltimore, MD</v>
          </cell>
          <cell r="C205">
            <v>1064</v>
          </cell>
        </row>
        <row r="206">
          <cell r="A206">
            <v>24510160700</v>
          </cell>
          <cell r="B206" t="str">
            <v>Rosemont, Baltimore, MD</v>
          </cell>
          <cell r="C206">
            <v>1062</v>
          </cell>
        </row>
        <row r="207">
          <cell r="A207">
            <v>24510260501</v>
          </cell>
          <cell r="B207" t="str">
            <v>Joseph Lee, Baltimore, MD</v>
          </cell>
          <cell r="C207">
            <v>1061</v>
          </cell>
        </row>
        <row r="208">
          <cell r="A208">
            <v>24005420303</v>
          </cell>
          <cell r="B208" t="str">
            <v>Dundalk, MD</v>
          </cell>
          <cell r="C208">
            <v>1060</v>
          </cell>
        </row>
        <row r="209">
          <cell r="A209">
            <v>24005420200</v>
          </cell>
          <cell r="B209" t="str">
            <v>Dundalk, MD</v>
          </cell>
          <cell r="C209">
            <v>1056</v>
          </cell>
        </row>
        <row r="210">
          <cell r="A210">
            <v>24005402305</v>
          </cell>
          <cell r="B210" t="str">
            <v>Lochearn, Pikesville, MD</v>
          </cell>
          <cell r="C210">
            <v>1047</v>
          </cell>
        </row>
        <row r="211">
          <cell r="A211">
            <v>24005402306</v>
          </cell>
          <cell r="B211" t="str">
            <v>Windsor Mill, Baltimore, MD</v>
          </cell>
          <cell r="C211">
            <v>1047</v>
          </cell>
        </row>
        <row r="212">
          <cell r="A212">
            <v>24510110200</v>
          </cell>
          <cell r="B212" t="str">
            <v>Downtown, Baltimore, MD</v>
          </cell>
          <cell r="C212">
            <v>1045</v>
          </cell>
        </row>
        <row r="213">
          <cell r="A213">
            <v>24510250102</v>
          </cell>
          <cell r="B213" t="str">
            <v>Yale Heights, Baltimore, MD</v>
          </cell>
          <cell r="C213">
            <v>1044</v>
          </cell>
        </row>
        <row r="214">
          <cell r="A214">
            <v>24510070200</v>
          </cell>
          <cell r="B214" t="str">
            <v>Madison - Eastend, Baltimore, MD</v>
          </cell>
          <cell r="C214">
            <v>1041</v>
          </cell>
        </row>
        <row r="215">
          <cell r="A215">
            <v>24005440900</v>
          </cell>
          <cell r="B215" t="str">
            <v>Rosedale, MD</v>
          </cell>
          <cell r="C215">
            <v>1041</v>
          </cell>
        </row>
        <row r="216">
          <cell r="A216">
            <v>24005430101</v>
          </cell>
          <cell r="B216" t="str">
            <v>Lansdowne - Baltimore Highlands, Lansdowne, MD</v>
          </cell>
          <cell r="C216">
            <v>1039</v>
          </cell>
        </row>
        <row r="217">
          <cell r="A217">
            <v>24510080700</v>
          </cell>
          <cell r="B217" t="str">
            <v>Broadway East, Baltimore, MD</v>
          </cell>
          <cell r="C217">
            <v>1038</v>
          </cell>
        </row>
        <row r="218">
          <cell r="A218">
            <v>24510150300</v>
          </cell>
          <cell r="B218" t="str">
            <v>Coppin Heights, Baltimore, MD</v>
          </cell>
          <cell r="C218">
            <v>1032</v>
          </cell>
        </row>
        <row r="219">
          <cell r="A219">
            <v>24510200200</v>
          </cell>
          <cell r="B219" t="str">
            <v>Lexington, Baltimore, MD</v>
          </cell>
          <cell r="C219">
            <v>1029</v>
          </cell>
        </row>
        <row r="220">
          <cell r="A220">
            <v>24510080600</v>
          </cell>
          <cell r="B220" t="str">
            <v>Broadway East, Baltimore, MD</v>
          </cell>
          <cell r="C220">
            <v>1029</v>
          </cell>
        </row>
        <row r="221">
          <cell r="A221">
            <v>24005420800</v>
          </cell>
          <cell r="B221" t="str">
            <v>Dundalk, MD</v>
          </cell>
          <cell r="C221">
            <v>1028</v>
          </cell>
        </row>
        <row r="222">
          <cell r="A222">
            <v>24510160500</v>
          </cell>
          <cell r="B222" t="str">
            <v>Bridgeview-Greenlawn, Baltimore, MD</v>
          </cell>
          <cell r="C222">
            <v>1024</v>
          </cell>
        </row>
        <row r="223">
          <cell r="A223">
            <v>24510260302</v>
          </cell>
          <cell r="B223" t="str">
            <v>Belair - Edison, Baltimore, MD</v>
          </cell>
          <cell r="C223">
            <v>1023</v>
          </cell>
        </row>
        <row r="224">
          <cell r="A224">
            <v>24510120400</v>
          </cell>
          <cell r="B224" t="str">
            <v>Barclay, Baltimore, MD</v>
          </cell>
          <cell r="C224">
            <v>1020</v>
          </cell>
        </row>
        <row r="225">
          <cell r="A225">
            <v>24005440500</v>
          </cell>
          <cell r="B225" t="str">
            <v>Nottingham, MD</v>
          </cell>
          <cell r="C225">
            <v>1015</v>
          </cell>
        </row>
        <row r="226">
          <cell r="A226">
            <v>24510260101</v>
          </cell>
          <cell r="B226" t="str">
            <v>Cedmont, Baltimore, MD</v>
          </cell>
          <cell r="C226">
            <v>1012</v>
          </cell>
        </row>
        <row r="227">
          <cell r="A227">
            <v>24510260303</v>
          </cell>
          <cell r="B227" t="str">
            <v>Claremont - Freedom, Baltimore, MD</v>
          </cell>
          <cell r="C227">
            <v>1006</v>
          </cell>
        </row>
        <row r="228">
          <cell r="A228">
            <v>24510270402</v>
          </cell>
          <cell r="B228" t="str">
            <v>Glenham-Belford, Baltimore, MD</v>
          </cell>
          <cell r="C228">
            <v>1006</v>
          </cell>
        </row>
        <row r="229">
          <cell r="A229">
            <v>24510280403</v>
          </cell>
          <cell r="B229" t="str">
            <v>Westgate, Baltimore, MD</v>
          </cell>
          <cell r="C229">
            <v>1003</v>
          </cell>
        </row>
        <row r="230">
          <cell r="A230">
            <v>24510280301</v>
          </cell>
          <cell r="B230" t="str">
            <v>Gwynn Oak, Baltimore, MD</v>
          </cell>
          <cell r="C230">
            <v>1001</v>
          </cell>
        </row>
        <row r="231">
          <cell r="A231">
            <v>24510200300</v>
          </cell>
          <cell r="B231" t="str">
            <v>Bentalou-Smallwood, Baltimore, MD</v>
          </cell>
          <cell r="C231">
            <v>1000</v>
          </cell>
        </row>
        <row r="232">
          <cell r="A232">
            <v>24005402404</v>
          </cell>
          <cell r="B232" t="str">
            <v>Gwynn Oak, Lochearn, MD</v>
          </cell>
          <cell r="C232">
            <v>997</v>
          </cell>
        </row>
        <row r="233">
          <cell r="A233">
            <v>24510280200</v>
          </cell>
          <cell r="B233" t="str">
            <v>Gwynn Oak, Baltimore, MD</v>
          </cell>
          <cell r="C233">
            <v>991</v>
          </cell>
        </row>
        <row r="234">
          <cell r="A234">
            <v>24005451300</v>
          </cell>
          <cell r="B234" t="str">
            <v>Middle River, MD</v>
          </cell>
          <cell r="C234">
            <v>990</v>
          </cell>
        </row>
        <row r="235">
          <cell r="A235">
            <v>24510271700</v>
          </cell>
          <cell r="B235" t="str">
            <v>Central Park Heights, Baltimore, MD</v>
          </cell>
          <cell r="C235">
            <v>987</v>
          </cell>
        </row>
        <row r="236">
          <cell r="A236">
            <v>24005430900</v>
          </cell>
          <cell r="B236" t="str">
            <v>Baltimore, MD</v>
          </cell>
          <cell r="C236">
            <v>984</v>
          </cell>
        </row>
        <row r="237">
          <cell r="A237">
            <v>24005491100</v>
          </cell>
          <cell r="B237" t="str">
            <v>Baltimore, MD</v>
          </cell>
          <cell r="C237">
            <v>983</v>
          </cell>
        </row>
        <row r="238">
          <cell r="A238">
            <v>24510160400</v>
          </cell>
          <cell r="B238" t="str">
            <v>Midtown Edmondson, Baltimore, MD</v>
          </cell>
          <cell r="C238">
            <v>982</v>
          </cell>
        </row>
        <row r="239">
          <cell r="A239">
            <v>24510090700</v>
          </cell>
          <cell r="B239" t="str">
            <v>Coldstream - Homestead - Montebello, Baltimore, MD</v>
          </cell>
          <cell r="C239">
            <v>982</v>
          </cell>
        </row>
        <row r="240">
          <cell r="A240">
            <v>24510271200</v>
          </cell>
          <cell r="B240" t="str">
            <v>Homeland, Baltimore, MD</v>
          </cell>
          <cell r="C240">
            <v>980</v>
          </cell>
        </row>
        <row r="241">
          <cell r="A241">
            <v>24510270200</v>
          </cell>
          <cell r="B241" t="str">
            <v>Lauraville, Baltimore, MD</v>
          </cell>
          <cell r="C241">
            <v>980</v>
          </cell>
        </row>
        <row r="242">
          <cell r="A242">
            <v>24510250101</v>
          </cell>
          <cell r="B242" t="str">
            <v>Beechfield, Baltimore, MD</v>
          </cell>
          <cell r="C242">
            <v>978</v>
          </cell>
        </row>
        <row r="243">
          <cell r="A243">
            <v>24510130300</v>
          </cell>
          <cell r="B243" t="str">
            <v>Penn North, Baltimore, MD</v>
          </cell>
          <cell r="C243">
            <v>976</v>
          </cell>
        </row>
        <row r="244">
          <cell r="A244">
            <v>24510270701</v>
          </cell>
          <cell r="B244" t="str">
            <v>Harford - Echodale - Perring Parkway, Baltimore, MD</v>
          </cell>
          <cell r="C244">
            <v>972</v>
          </cell>
        </row>
        <row r="245">
          <cell r="A245">
            <v>24003750202</v>
          </cell>
          <cell r="B245" t="str">
            <v>Brooklyn Park, MD</v>
          </cell>
          <cell r="C245">
            <v>971</v>
          </cell>
        </row>
        <row r="246">
          <cell r="A246">
            <v>24005451000</v>
          </cell>
          <cell r="B246" t="str">
            <v>Essex, MD</v>
          </cell>
          <cell r="C246">
            <v>970</v>
          </cell>
        </row>
        <row r="247">
          <cell r="A247">
            <v>24510190200</v>
          </cell>
          <cell r="B247" t="str">
            <v>Pratt Monroe, Baltimore, MD</v>
          </cell>
          <cell r="C247">
            <v>969</v>
          </cell>
        </row>
        <row r="248">
          <cell r="A248">
            <v>24005420701</v>
          </cell>
          <cell r="B248" t="str">
            <v>Dundalk, MD</v>
          </cell>
          <cell r="C248">
            <v>968</v>
          </cell>
        </row>
        <row r="249">
          <cell r="A249">
            <v>24510270901</v>
          </cell>
          <cell r="B249" t="str">
            <v>New Northwood, Baltimore, MD</v>
          </cell>
          <cell r="C249">
            <v>968</v>
          </cell>
        </row>
        <row r="250">
          <cell r="A250">
            <v>24005400600</v>
          </cell>
          <cell r="B250" t="str">
            <v>Catonsville, MD</v>
          </cell>
          <cell r="C250">
            <v>967</v>
          </cell>
        </row>
        <row r="251">
          <cell r="A251">
            <v>24005450800</v>
          </cell>
          <cell r="B251" t="str">
            <v>Essex, MD</v>
          </cell>
          <cell r="C251">
            <v>967</v>
          </cell>
        </row>
        <row r="252">
          <cell r="A252">
            <v>24510250401</v>
          </cell>
          <cell r="B252" t="str">
            <v>Brooklyn, Baltimore, MD</v>
          </cell>
          <cell r="C252">
            <v>967</v>
          </cell>
        </row>
        <row r="253">
          <cell r="A253">
            <v>24510160801</v>
          </cell>
          <cell r="B253" t="str">
            <v>Edmondson, Baltimore, MD</v>
          </cell>
          <cell r="C253">
            <v>966</v>
          </cell>
        </row>
        <row r="254">
          <cell r="A254">
            <v>24005451801</v>
          </cell>
          <cell r="B254" t="str">
            <v>Middle River, MD</v>
          </cell>
          <cell r="C254">
            <v>961</v>
          </cell>
        </row>
        <row r="255">
          <cell r="A255">
            <v>24510120202</v>
          </cell>
          <cell r="B255" t="str">
            <v>Baltimore, MD</v>
          </cell>
          <cell r="C255">
            <v>961</v>
          </cell>
        </row>
        <row r="256">
          <cell r="A256">
            <v>24510170100</v>
          </cell>
          <cell r="B256" t="str">
            <v>Downtown, Baltimore, MD</v>
          </cell>
          <cell r="C256">
            <v>961</v>
          </cell>
        </row>
        <row r="257">
          <cell r="A257">
            <v>24510180300</v>
          </cell>
          <cell r="B257" t="str">
            <v>Hollins Market, Baltimore, MD</v>
          </cell>
          <cell r="C257">
            <v>960</v>
          </cell>
        </row>
        <row r="258">
          <cell r="A258">
            <v>24510280302</v>
          </cell>
          <cell r="B258" t="str">
            <v>West Forest Park, Baltimore, MD</v>
          </cell>
          <cell r="C258">
            <v>959</v>
          </cell>
        </row>
        <row r="259">
          <cell r="A259">
            <v>24510130200</v>
          </cell>
          <cell r="B259" t="str">
            <v>Reservoir Hill, Baltimore, MD</v>
          </cell>
          <cell r="C259">
            <v>959</v>
          </cell>
        </row>
        <row r="260">
          <cell r="A260">
            <v>24510151300</v>
          </cell>
          <cell r="B260" t="str">
            <v>Central Park Heights, Baltimore, MD</v>
          </cell>
          <cell r="C260">
            <v>957</v>
          </cell>
        </row>
        <row r="261">
          <cell r="A261">
            <v>24510260203</v>
          </cell>
          <cell r="B261" t="str">
            <v>Frankford, Baltimore, MD</v>
          </cell>
          <cell r="C261">
            <v>956</v>
          </cell>
        </row>
        <row r="262">
          <cell r="A262">
            <v>24510270804</v>
          </cell>
          <cell r="B262" t="str">
            <v>Lake Walker, Baltimore, MD</v>
          </cell>
          <cell r="C262">
            <v>956</v>
          </cell>
        </row>
        <row r="263">
          <cell r="A263">
            <v>24510140300</v>
          </cell>
          <cell r="B263" t="str">
            <v>Druid Heights, Baltimore, MD</v>
          </cell>
          <cell r="C263">
            <v>955</v>
          </cell>
        </row>
        <row r="264">
          <cell r="A264">
            <v>24510250206</v>
          </cell>
          <cell r="B264" t="str">
            <v>Morrell Park, Baltimore, MD</v>
          </cell>
          <cell r="C264">
            <v>954</v>
          </cell>
        </row>
        <row r="265">
          <cell r="A265">
            <v>24510260605</v>
          </cell>
          <cell r="B265" t="str">
            <v>Medford - Broening, Baltimore, MD</v>
          </cell>
          <cell r="C265">
            <v>951</v>
          </cell>
        </row>
        <row r="266">
          <cell r="A266">
            <v>24510271802</v>
          </cell>
          <cell r="B266" t="str">
            <v>Langston Hughes, Baltimore, MD</v>
          </cell>
          <cell r="C266">
            <v>950</v>
          </cell>
        </row>
        <row r="267">
          <cell r="A267">
            <v>24510130700</v>
          </cell>
          <cell r="B267" t="str">
            <v>Hampden, Baltimore, MD</v>
          </cell>
          <cell r="C267">
            <v>947</v>
          </cell>
        </row>
        <row r="268">
          <cell r="A268">
            <v>24510270703</v>
          </cell>
          <cell r="B268" t="str">
            <v>North Harford Road, Baltimore, MD</v>
          </cell>
          <cell r="C268">
            <v>945</v>
          </cell>
        </row>
        <row r="269">
          <cell r="A269">
            <v>24510270401</v>
          </cell>
          <cell r="B269" t="str">
            <v>Glenham-Belford, Baltimore, MD</v>
          </cell>
          <cell r="C269">
            <v>942</v>
          </cell>
        </row>
        <row r="270">
          <cell r="A270">
            <v>24510250303</v>
          </cell>
          <cell r="B270" t="str">
            <v>Morrell Park, Baltimore, MD</v>
          </cell>
          <cell r="C270">
            <v>940</v>
          </cell>
        </row>
        <row r="271">
          <cell r="A271">
            <v>24510270702</v>
          </cell>
          <cell r="B271" t="str">
            <v>Harford - Echodale - Perring Parkway, Baltimore, MD</v>
          </cell>
          <cell r="C271">
            <v>940</v>
          </cell>
        </row>
        <row r="272">
          <cell r="A272">
            <v>24510270903</v>
          </cell>
          <cell r="B272" t="str">
            <v>Hillen, Baltimore, MD</v>
          </cell>
          <cell r="C272">
            <v>935</v>
          </cell>
        </row>
        <row r="273">
          <cell r="A273">
            <v>24510270805</v>
          </cell>
          <cell r="B273" t="str">
            <v>Mid-Govans, Baltimore, MD</v>
          </cell>
          <cell r="C273">
            <v>933</v>
          </cell>
        </row>
        <row r="274">
          <cell r="A274">
            <v>24510271600</v>
          </cell>
          <cell r="B274" t="str">
            <v>Edgecomb, Baltimore, MD</v>
          </cell>
          <cell r="C274">
            <v>932</v>
          </cell>
        </row>
        <row r="275">
          <cell r="A275">
            <v>24510150800</v>
          </cell>
          <cell r="B275" t="str">
            <v>Garwyn Oaks, Baltimore, MD</v>
          </cell>
          <cell r="C275">
            <v>925</v>
          </cell>
        </row>
        <row r="276">
          <cell r="A276">
            <v>24003751200</v>
          </cell>
          <cell r="B276" t="str">
            <v>Linthicum Heights, MD</v>
          </cell>
          <cell r="C276">
            <v>925</v>
          </cell>
        </row>
        <row r="277">
          <cell r="A277">
            <v>24510271900</v>
          </cell>
          <cell r="B277" t="str">
            <v>Glen, Baltimore, MD</v>
          </cell>
          <cell r="C277">
            <v>920</v>
          </cell>
        </row>
        <row r="278">
          <cell r="A278">
            <v>24005403402</v>
          </cell>
          <cell r="B278" t="str">
            <v>Pikesville, MD</v>
          </cell>
          <cell r="C278">
            <v>919</v>
          </cell>
        </row>
        <row r="279">
          <cell r="A279">
            <v>24005420301</v>
          </cell>
          <cell r="B279" t="str">
            <v>Dundalk, MD</v>
          </cell>
          <cell r="C279">
            <v>918</v>
          </cell>
        </row>
        <row r="280">
          <cell r="A280">
            <v>24005451802</v>
          </cell>
          <cell r="B280" t="str">
            <v>Middle River, MD</v>
          </cell>
          <cell r="C280">
            <v>918</v>
          </cell>
        </row>
        <row r="281">
          <cell r="A281">
            <v>24510250500</v>
          </cell>
          <cell r="B281" t="str">
            <v>Curtis Bay, Baltimore, MD</v>
          </cell>
          <cell r="C281">
            <v>912</v>
          </cell>
        </row>
        <row r="282">
          <cell r="A282">
            <v>24510150900</v>
          </cell>
          <cell r="B282" t="str">
            <v>Windsor Hills, Baltimore, MD</v>
          </cell>
          <cell r="C282">
            <v>912</v>
          </cell>
        </row>
        <row r="283">
          <cell r="A283">
            <v>24510150400</v>
          </cell>
          <cell r="B283" t="str">
            <v>Mondawmin, Baltimore, MD</v>
          </cell>
          <cell r="C283">
            <v>911</v>
          </cell>
        </row>
        <row r="284">
          <cell r="A284">
            <v>24510120500</v>
          </cell>
          <cell r="B284" t="str">
            <v>Greenmount West, Baltimore, MD</v>
          </cell>
          <cell r="C284">
            <v>908</v>
          </cell>
        </row>
        <row r="285">
          <cell r="A285">
            <v>24510080800</v>
          </cell>
          <cell r="B285" t="str">
            <v>Broadway East, Baltimore, MD</v>
          </cell>
          <cell r="C285">
            <v>906</v>
          </cell>
        </row>
        <row r="286">
          <cell r="A286">
            <v>24510280102</v>
          </cell>
          <cell r="B286" t="str">
            <v>Gwynn Oak, Baltimore, MD</v>
          </cell>
          <cell r="C286">
            <v>902</v>
          </cell>
        </row>
        <row r="287">
          <cell r="A287">
            <v>24510270101</v>
          </cell>
          <cell r="B287" t="str">
            <v>Arcadia, Baltimore, MD</v>
          </cell>
          <cell r="C287">
            <v>900</v>
          </cell>
        </row>
        <row r="288">
          <cell r="A288">
            <v>24510090100</v>
          </cell>
          <cell r="B288" t="str">
            <v>Ednor Gardens - Lakeside, Baltimore, MD</v>
          </cell>
          <cell r="C288">
            <v>897</v>
          </cell>
        </row>
        <row r="289">
          <cell r="A289">
            <v>24510090400</v>
          </cell>
          <cell r="B289" t="str">
            <v>Better Waverly, Baltimore, MD</v>
          </cell>
          <cell r="C289">
            <v>896</v>
          </cell>
        </row>
        <row r="290">
          <cell r="A290">
            <v>24005421300</v>
          </cell>
          <cell r="B290" t="str">
            <v>Dundalk, MD</v>
          </cell>
          <cell r="C290">
            <v>896</v>
          </cell>
        </row>
        <row r="291">
          <cell r="A291">
            <v>24510270802</v>
          </cell>
          <cell r="B291" t="str">
            <v>Ramblewood, Baltimore, MD</v>
          </cell>
          <cell r="C291">
            <v>896</v>
          </cell>
        </row>
        <row r="292">
          <cell r="A292">
            <v>24510150200</v>
          </cell>
          <cell r="B292" t="str">
            <v>Sandtown-Winchester, Baltimore, MD</v>
          </cell>
          <cell r="C292">
            <v>895</v>
          </cell>
        </row>
        <row r="293">
          <cell r="A293">
            <v>24005421200</v>
          </cell>
          <cell r="B293" t="str">
            <v>Dundalk, MD</v>
          </cell>
          <cell r="C293">
            <v>894</v>
          </cell>
        </row>
        <row r="294">
          <cell r="A294">
            <v>24510070400</v>
          </cell>
          <cell r="B294" t="str">
            <v>Gay Street, Baltimore, MD</v>
          </cell>
          <cell r="C294">
            <v>894</v>
          </cell>
        </row>
        <row r="295">
          <cell r="A295">
            <v>24005450504</v>
          </cell>
          <cell r="B295" t="str">
            <v>Essex, MD</v>
          </cell>
          <cell r="C295">
            <v>893</v>
          </cell>
        </row>
        <row r="296">
          <cell r="A296">
            <v>24510150500</v>
          </cell>
          <cell r="B296" t="str">
            <v>Burleith-Leighton, Baltimore, MD</v>
          </cell>
          <cell r="C296">
            <v>893</v>
          </cell>
        </row>
        <row r="297">
          <cell r="A297">
            <v>24005402403</v>
          </cell>
          <cell r="B297" t="str">
            <v>Gwynn Oak, Baltimore, MD</v>
          </cell>
          <cell r="C297">
            <v>890</v>
          </cell>
        </row>
        <row r="298">
          <cell r="A298">
            <v>24510151000</v>
          </cell>
          <cell r="B298" t="str">
            <v>Dorchester, Baltimore, MD</v>
          </cell>
          <cell r="C298">
            <v>888</v>
          </cell>
        </row>
        <row r="299">
          <cell r="A299">
            <v>24510250207</v>
          </cell>
          <cell r="B299" t="str">
            <v>Cherry Hill, Baltimore, MD</v>
          </cell>
          <cell r="C299">
            <v>888</v>
          </cell>
        </row>
        <row r="300">
          <cell r="A300">
            <v>24510270302</v>
          </cell>
          <cell r="B300" t="str">
            <v>Waltherson, Baltimore, MD</v>
          </cell>
          <cell r="C300">
            <v>881</v>
          </cell>
        </row>
        <row r="301">
          <cell r="A301">
            <v>24510271002</v>
          </cell>
          <cell r="B301" t="str">
            <v>Winston - Govans, Baltimore, MD</v>
          </cell>
          <cell r="C301">
            <v>881</v>
          </cell>
        </row>
        <row r="302">
          <cell r="A302">
            <v>24510270501</v>
          </cell>
          <cell r="B302" t="str">
            <v>Woodring, Baltimore, MD</v>
          </cell>
          <cell r="C302">
            <v>880</v>
          </cell>
        </row>
        <row r="303">
          <cell r="A303">
            <v>24510200500</v>
          </cell>
          <cell r="B303" t="str">
            <v>Mill Hill, Baltimore, MD</v>
          </cell>
          <cell r="C303">
            <v>879</v>
          </cell>
        </row>
        <row r="304">
          <cell r="A304">
            <v>24510270502</v>
          </cell>
          <cell r="B304" t="str">
            <v>North Harford Road, Baltimore, MD</v>
          </cell>
          <cell r="C304">
            <v>876</v>
          </cell>
        </row>
        <row r="305">
          <cell r="A305">
            <v>24510260102</v>
          </cell>
          <cell r="B305" t="str">
            <v>Frankford, Baltimore, MD</v>
          </cell>
          <cell r="C305">
            <v>868</v>
          </cell>
        </row>
        <row r="306">
          <cell r="A306">
            <v>24005420900</v>
          </cell>
          <cell r="B306" t="str">
            <v>Dundalk, MD</v>
          </cell>
          <cell r="C306">
            <v>868</v>
          </cell>
        </row>
        <row r="307">
          <cell r="A307">
            <v>24510260402</v>
          </cell>
          <cell r="B307" t="str">
            <v>Frankford, Baltimore, MD</v>
          </cell>
          <cell r="C307">
            <v>862</v>
          </cell>
        </row>
        <row r="308">
          <cell r="A308">
            <v>24510151100</v>
          </cell>
          <cell r="B308" t="str">
            <v>East Arlington, Baltimore, MD</v>
          </cell>
          <cell r="C308">
            <v>861</v>
          </cell>
        </row>
        <row r="309">
          <cell r="A309">
            <v>24510200701</v>
          </cell>
          <cell r="B309" t="str">
            <v>Allendale, Baltimore, MD</v>
          </cell>
          <cell r="C309">
            <v>860</v>
          </cell>
        </row>
        <row r="310">
          <cell r="A310">
            <v>24510190300</v>
          </cell>
          <cell r="B310" t="str">
            <v>Mount Clare, Baltimore, MD</v>
          </cell>
          <cell r="C310">
            <v>859</v>
          </cell>
        </row>
        <row r="311">
          <cell r="A311">
            <v>24510271001</v>
          </cell>
          <cell r="B311" t="str">
            <v>Baltimore, MD</v>
          </cell>
          <cell r="C311">
            <v>859</v>
          </cell>
        </row>
        <row r="312">
          <cell r="A312">
            <v>24510260201</v>
          </cell>
          <cell r="B312" t="str">
            <v>Frankford, Baltimore, MD</v>
          </cell>
          <cell r="C312">
            <v>853</v>
          </cell>
        </row>
        <row r="313">
          <cell r="A313">
            <v>24510270600</v>
          </cell>
          <cell r="B313" t="str">
            <v>Harford - Echodale - Perring Parkway, Baltimore, MD</v>
          </cell>
          <cell r="C313">
            <v>853</v>
          </cell>
        </row>
        <row r="314">
          <cell r="A314">
            <v>24510272006</v>
          </cell>
          <cell r="B314" t="str">
            <v>Glen, Baltimore, MD</v>
          </cell>
          <cell r="C314">
            <v>852</v>
          </cell>
        </row>
        <row r="315">
          <cell r="A315">
            <v>24005421101</v>
          </cell>
          <cell r="B315" t="str">
            <v>Baltimore, MD</v>
          </cell>
          <cell r="C315">
            <v>848</v>
          </cell>
        </row>
        <row r="316">
          <cell r="A316">
            <v>24510140100</v>
          </cell>
          <cell r="B316" t="str">
            <v>Bolton Hill, Baltimore, MD</v>
          </cell>
          <cell r="C316">
            <v>848</v>
          </cell>
        </row>
        <row r="317">
          <cell r="A317">
            <v>24510271101</v>
          </cell>
          <cell r="B317" t="str">
            <v>Radnor - Winston, Baltimore, MD</v>
          </cell>
          <cell r="C317">
            <v>847</v>
          </cell>
        </row>
        <row r="318">
          <cell r="A318">
            <v>24005452400</v>
          </cell>
          <cell r="B318" t="str">
            <v>Dundalk, MD</v>
          </cell>
          <cell r="C318">
            <v>842</v>
          </cell>
        </row>
        <row r="319">
          <cell r="A319">
            <v>24510200400</v>
          </cell>
          <cell r="B319" t="str">
            <v>Shipley Hill, Baltimore, MD</v>
          </cell>
          <cell r="C319">
            <v>838</v>
          </cell>
        </row>
        <row r="320">
          <cell r="A320">
            <v>24510080302</v>
          </cell>
          <cell r="B320" t="str">
            <v>Berea, Baltimore, MD</v>
          </cell>
          <cell r="C320">
            <v>834</v>
          </cell>
        </row>
        <row r="321">
          <cell r="A321">
            <v>24510260403</v>
          </cell>
          <cell r="B321" t="str">
            <v>Cedonia, Baltimore, MD</v>
          </cell>
          <cell r="C321">
            <v>831</v>
          </cell>
        </row>
        <row r="322">
          <cell r="A322">
            <v>24510070300</v>
          </cell>
          <cell r="B322" t="str">
            <v>Milton - Montford, Baltimore, MD</v>
          </cell>
          <cell r="C322">
            <v>830</v>
          </cell>
        </row>
        <row r="323">
          <cell r="A323">
            <v>24510260202</v>
          </cell>
          <cell r="B323" t="str">
            <v>Parkside, Baltimore, MD</v>
          </cell>
          <cell r="C323">
            <v>828</v>
          </cell>
        </row>
        <row r="324">
          <cell r="A324">
            <v>24005401302</v>
          </cell>
          <cell r="B324" t="str">
            <v>Gwynn Oak, Baltimore, MD</v>
          </cell>
          <cell r="C324">
            <v>828</v>
          </cell>
        </row>
        <row r="325">
          <cell r="A325">
            <v>24005420702</v>
          </cell>
          <cell r="B325" t="str">
            <v>Dundalk, MD</v>
          </cell>
          <cell r="C325">
            <v>820</v>
          </cell>
        </row>
        <row r="326">
          <cell r="A326">
            <v>24510160300</v>
          </cell>
          <cell r="B326" t="str">
            <v>Sandtown-Winchester, Baltimore, MD</v>
          </cell>
          <cell r="C326">
            <v>814</v>
          </cell>
        </row>
        <row r="327">
          <cell r="A327">
            <v>24510130100</v>
          </cell>
          <cell r="B327" t="str">
            <v>Reservoir Hill, Baltimore, MD</v>
          </cell>
          <cell r="C327">
            <v>801</v>
          </cell>
        </row>
        <row r="328">
          <cell r="A328">
            <v>24510280401</v>
          </cell>
          <cell r="B328" t="str">
            <v>Baltimore, MD</v>
          </cell>
          <cell r="C328">
            <v>798</v>
          </cell>
        </row>
        <row r="329">
          <cell r="A329">
            <v>24005421000</v>
          </cell>
          <cell r="B329" t="str">
            <v>Dundalk, MD</v>
          </cell>
          <cell r="C329">
            <v>796</v>
          </cell>
        </row>
        <row r="330">
          <cell r="A330">
            <v>24005450200</v>
          </cell>
          <cell r="B330" t="str">
            <v>Essex, MD</v>
          </cell>
          <cell r="C330">
            <v>784</v>
          </cell>
        </row>
        <row r="331">
          <cell r="A331">
            <v>24005450501</v>
          </cell>
          <cell r="B331" t="str">
            <v>Essex, MD</v>
          </cell>
          <cell r="C331">
            <v>784</v>
          </cell>
        </row>
        <row r="332">
          <cell r="A332">
            <v>24510200800</v>
          </cell>
          <cell r="B332" t="str">
            <v>Irvington, Baltimore, MD</v>
          </cell>
          <cell r="C332">
            <v>782</v>
          </cell>
        </row>
        <row r="333">
          <cell r="A333">
            <v>24510170300</v>
          </cell>
          <cell r="B333" t="str">
            <v>Upton, Baltimore, MD</v>
          </cell>
          <cell r="C333">
            <v>769</v>
          </cell>
        </row>
        <row r="334">
          <cell r="A334">
            <v>24510090300</v>
          </cell>
          <cell r="B334" t="str">
            <v>Ednor Gardens - Lakeside, Baltimore, MD</v>
          </cell>
          <cell r="C334">
            <v>769</v>
          </cell>
        </row>
        <row r="335">
          <cell r="A335">
            <v>24510160200</v>
          </cell>
          <cell r="B335" t="str">
            <v>Sandtown-Winchester, Baltimore, MD</v>
          </cell>
          <cell r="C335">
            <v>767</v>
          </cell>
        </row>
        <row r="336">
          <cell r="A336">
            <v>24510130805</v>
          </cell>
          <cell r="B336" t="str">
            <v>Cold Springs, Baltimore, MD</v>
          </cell>
          <cell r="C336">
            <v>766</v>
          </cell>
        </row>
        <row r="337">
          <cell r="A337">
            <v>24510250402</v>
          </cell>
          <cell r="B337" t="str">
            <v>Brooklyn, Baltimore, MD</v>
          </cell>
          <cell r="C337">
            <v>765</v>
          </cell>
        </row>
        <row r="338">
          <cell r="A338">
            <v>24510150600</v>
          </cell>
          <cell r="B338" t="str">
            <v>NW Community Action, Baltimore, MD</v>
          </cell>
          <cell r="C338">
            <v>761</v>
          </cell>
        </row>
        <row r="339">
          <cell r="A339">
            <v>24510060400</v>
          </cell>
          <cell r="B339" t="str">
            <v>Baltimore, MD</v>
          </cell>
          <cell r="C339">
            <v>760</v>
          </cell>
        </row>
        <row r="340">
          <cell r="A340">
            <v>24510080400</v>
          </cell>
          <cell r="B340" t="str">
            <v>Broadway East, Baltimore, MD</v>
          </cell>
          <cell r="C340">
            <v>755</v>
          </cell>
        </row>
        <row r="341">
          <cell r="A341">
            <v>24510190100</v>
          </cell>
          <cell r="B341" t="str">
            <v>Franklin Square, Baltimore, MD</v>
          </cell>
          <cell r="C341">
            <v>743</v>
          </cell>
        </row>
        <row r="342">
          <cell r="A342">
            <v>24510140200</v>
          </cell>
          <cell r="B342" t="str">
            <v>Upton, Baltimore, MD</v>
          </cell>
          <cell r="C342">
            <v>743</v>
          </cell>
        </row>
        <row r="343">
          <cell r="A343">
            <v>24510160600</v>
          </cell>
          <cell r="B343" t="str">
            <v>Mosher, Baltimore, MD</v>
          </cell>
          <cell r="C343">
            <v>733</v>
          </cell>
        </row>
        <row r="344">
          <cell r="A344">
            <v>24510090900</v>
          </cell>
          <cell r="B344" t="str">
            <v>Oliver, Baltimore, MD</v>
          </cell>
          <cell r="C344">
            <v>728</v>
          </cell>
        </row>
        <row r="345">
          <cell r="A345">
            <v>24510120600</v>
          </cell>
          <cell r="B345" t="str">
            <v>Old Goucher, Baltimore, MD</v>
          </cell>
          <cell r="C345">
            <v>712</v>
          </cell>
        </row>
        <row r="346">
          <cell r="A346">
            <v>24510160100</v>
          </cell>
          <cell r="B346" t="str">
            <v>Harlem Park, Baltimore, MD</v>
          </cell>
          <cell r="C346">
            <v>690</v>
          </cell>
        </row>
        <row r="347">
          <cell r="A347">
            <v>24005441101</v>
          </cell>
          <cell r="B347" t="str">
            <v>Rosedale, MD</v>
          </cell>
          <cell r="C347">
            <v>689</v>
          </cell>
        </row>
        <row r="348">
          <cell r="A348">
            <v>24005450100</v>
          </cell>
          <cell r="B348" t="str">
            <v>Rosedale, MD</v>
          </cell>
          <cell r="C348">
            <v>685</v>
          </cell>
        </row>
        <row r="349">
          <cell r="A349">
            <v>24510271801</v>
          </cell>
          <cell r="B349" t="str">
            <v>Arlington, Baltimore, MD</v>
          </cell>
          <cell r="C349">
            <v>642</v>
          </cell>
        </row>
        <row r="350">
          <cell r="A350">
            <v>24510260401</v>
          </cell>
          <cell r="B350" t="str">
            <v>Armistead Gardens, Baltimore, MD</v>
          </cell>
          <cell r="C350">
            <v>610</v>
          </cell>
        </row>
        <row r="351">
          <cell r="A351">
            <v>24510080200</v>
          </cell>
          <cell r="B351" t="str">
            <v>Broadway East, Baltimore, MD</v>
          </cell>
          <cell r="C351">
            <v>597</v>
          </cell>
        </row>
        <row r="352">
          <cell r="A352">
            <v>24005450300</v>
          </cell>
          <cell r="B352" t="str">
            <v>Essex, MD</v>
          </cell>
          <cell r="C352">
            <v>597</v>
          </cell>
        </row>
        <row r="353">
          <cell r="A353">
            <v>24510250103</v>
          </cell>
          <cell r="B353" t="str">
            <v>Violetville, Baltimore, MD</v>
          </cell>
          <cell r="C353">
            <v>594</v>
          </cell>
        </row>
        <row r="354">
          <cell r="A354">
            <v>24510151200</v>
          </cell>
          <cell r="B354" t="str">
            <v>Park Circle, Baltimore, MD</v>
          </cell>
          <cell r="C354">
            <v>538</v>
          </cell>
        </row>
        <row r="355">
          <cell r="A355">
            <v>24005401505</v>
          </cell>
          <cell r="B355" t="str">
            <v>Catonsville, MD</v>
          </cell>
          <cell r="C355">
            <v>533</v>
          </cell>
        </row>
        <row r="356">
          <cell r="A356">
            <v>24510180200</v>
          </cell>
          <cell r="B356" t="str">
            <v>Poppleton, Baltimore, MD</v>
          </cell>
          <cell r="C356">
            <v>497</v>
          </cell>
        </row>
        <row r="357">
          <cell r="A357">
            <v>24510180100</v>
          </cell>
          <cell r="B357" t="str">
            <v>Poppleton, Baltimore, MD</v>
          </cell>
          <cell r="C357">
            <v>484</v>
          </cell>
        </row>
        <row r="358">
          <cell r="A358">
            <v>24510280404</v>
          </cell>
          <cell r="B358" t="str">
            <v>Irvington, Baltimore, MD</v>
          </cell>
          <cell r="C358">
            <v>470</v>
          </cell>
        </row>
        <row r="359">
          <cell r="A359">
            <v>24005452000</v>
          </cell>
          <cell r="B359" t="str">
            <v>Sparrows Point, MD</v>
          </cell>
          <cell r="C359">
            <v>466</v>
          </cell>
        </row>
        <row r="360">
          <cell r="A360">
            <v>24510030100</v>
          </cell>
          <cell r="B360" t="str">
            <v>Perkins Homes, Baltimore, MD</v>
          </cell>
          <cell r="C360">
            <v>428</v>
          </cell>
        </row>
        <row r="361">
          <cell r="A361">
            <v>24510100200</v>
          </cell>
          <cell r="B361" t="str">
            <v>Baltimore, MD</v>
          </cell>
          <cell r="C361">
            <v>417</v>
          </cell>
        </row>
        <row r="362">
          <cell r="A362">
            <v>24510150100</v>
          </cell>
          <cell r="B362" t="str">
            <v>Sandtown-Winchester, Baltimore, MD</v>
          </cell>
          <cell r="C362">
            <v>401</v>
          </cell>
        </row>
        <row r="363">
          <cell r="A363">
            <v>24510100100</v>
          </cell>
          <cell r="B363" t="str">
            <v>Johnson Square, Baltimore, MD</v>
          </cell>
          <cell r="C363">
            <v>389</v>
          </cell>
        </row>
        <row r="364">
          <cell r="A364">
            <v>24510170200</v>
          </cell>
          <cell r="B364" t="str">
            <v>McCulloh Homes, Baltimore, MD</v>
          </cell>
          <cell r="C364">
            <v>388</v>
          </cell>
        </row>
        <row r="365">
          <cell r="A365">
            <v>24510260604</v>
          </cell>
          <cell r="B365" t="str">
            <v>O'Donnell Heights, Baltimore, MD</v>
          </cell>
          <cell r="C365">
            <v>301</v>
          </cell>
        </row>
        <row r="366">
          <cell r="A366">
            <v>24510250301</v>
          </cell>
          <cell r="B366" t="str">
            <v>Westport, Baltimore, MD</v>
          </cell>
          <cell r="C366">
            <v>299</v>
          </cell>
        </row>
        <row r="367">
          <cell r="A367">
            <v>24510250204</v>
          </cell>
          <cell r="B367" t="str">
            <v>Cherry Hill, Baltimore, MD</v>
          </cell>
          <cell r="C367">
            <v>278</v>
          </cell>
        </row>
        <row r="368">
          <cell r="A368">
            <v>24510280500</v>
          </cell>
          <cell r="B368" t="str">
            <v>Pleasant View Gardens, Baltimore, MD</v>
          </cell>
          <cell r="C368">
            <v>265</v>
          </cell>
        </row>
        <row r="369">
          <cell r="A369">
            <v>24510250600</v>
          </cell>
          <cell r="B369" t="str">
            <v>Brooklyn, Baltimore, MD</v>
          </cell>
        </row>
        <row r="370">
          <cell r="A370">
            <v>24005980200</v>
          </cell>
          <cell r="B370" t="str">
            <v>Lansdowne - Baltimore Highlands, Halethorpe, MD</v>
          </cell>
        </row>
        <row r="371">
          <cell r="A371">
            <v>24005401400</v>
          </cell>
          <cell r="B371" t="str">
            <v>Catonsville, MD</v>
          </cell>
        </row>
        <row r="372">
          <cell r="A372">
            <v>24027601104</v>
          </cell>
          <cell r="B372" t="str">
            <v>Ellicott City, MD</v>
          </cell>
        </row>
        <row r="373">
          <cell r="A373">
            <v>24510100300</v>
          </cell>
          <cell r="B373" t="str">
            <v>Penn - Fallsway, Baltimore, MD</v>
          </cell>
        </row>
        <row r="374">
          <cell r="A374">
            <v>24005400500</v>
          </cell>
          <cell r="B374" t="str">
            <v>Catonsville, MD</v>
          </cell>
        </row>
        <row r="375">
          <cell r="A375">
            <v>24005492102</v>
          </cell>
          <cell r="B375" t="str">
            <v>Parkville, MD</v>
          </cell>
        </row>
        <row r="376">
          <cell r="A376">
            <v>24005411302</v>
          </cell>
          <cell r="B376" t="str">
            <v>White Marsh, MD</v>
          </cell>
        </row>
        <row r="377">
          <cell r="A377">
            <v>24003980000</v>
          </cell>
          <cell r="B377" t="str">
            <v>Linthicum Heights, MD</v>
          </cell>
        </row>
        <row r="378">
          <cell r="A378">
            <v>24510271102</v>
          </cell>
          <cell r="B378" t="str">
            <v>Mid-Charles, Baltimore, MD</v>
          </cell>
        </row>
      </sheetData>
    </sheetDataSet>
  </externalBook>
</externalLink>
</file>

<file path=xl/externalLinks/externalLink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own_tract_poor_share2016"/>
    </sheetNames>
    <sheetDataSet>
      <sheetData sheetId="0" refreshError="1">
        <row r="2">
          <cell r="A2">
            <v>24005490605</v>
          </cell>
          <cell r="B2" t="str">
            <v>Towson, MD</v>
          </cell>
          <cell r="C2">
            <v>0.82469999999999999</v>
          </cell>
        </row>
        <row r="3">
          <cell r="A3">
            <v>24005492500</v>
          </cell>
          <cell r="B3" t="str">
            <v>Baltimore, MD</v>
          </cell>
          <cell r="C3">
            <v>0.77780000000000005</v>
          </cell>
        </row>
        <row r="4">
          <cell r="A4">
            <v>24510280500</v>
          </cell>
          <cell r="B4" t="str">
            <v>Pleasant View Gardens, Baltimore, MD</v>
          </cell>
          <cell r="C4">
            <v>0.68520000000000003</v>
          </cell>
        </row>
        <row r="5">
          <cell r="A5">
            <v>24510250204</v>
          </cell>
          <cell r="B5" t="str">
            <v>Cherry Hill, Baltimore, MD</v>
          </cell>
          <cell r="C5">
            <v>0.6532</v>
          </cell>
        </row>
        <row r="6">
          <cell r="A6">
            <v>24510180100</v>
          </cell>
          <cell r="B6" t="str">
            <v>Poppleton, Baltimore, MD</v>
          </cell>
          <cell r="C6">
            <v>0.58599999999999997</v>
          </cell>
        </row>
        <row r="7">
          <cell r="A7">
            <v>24510140200</v>
          </cell>
          <cell r="B7" t="str">
            <v>Upton, Baltimore, MD</v>
          </cell>
          <cell r="C7">
            <v>0.56599999999999995</v>
          </cell>
        </row>
        <row r="8">
          <cell r="A8">
            <v>24510070300</v>
          </cell>
          <cell r="B8" t="str">
            <v>Milton - Montford, Baltimore, MD</v>
          </cell>
          <cell r="C8">
            <v>0.53800000000000003</v>
          </cell>
        </row>
        <row r="9">
          <cell r="A9">
            <v>24510170200</v>
          </cell>
          <cell r="B9" t="str">
            <v>McCulloh Homes, Baltimore, MD</v>
          </cell>
          <cell r="C9">
            <v>0.51980000000000004</v>
          </cell>
        </row>
        <row r="10">
          <cell r="A10">
            <v>24510080400</v>
          </cell>
          <cell r="B10" t="str">
            <v>Broadway East, Baltimore, MD</v>
          </cell>
          <cell r="C10">
            <v>0.51190000000000002</v>
          </cell>
        </row>
        <row r="11">
          <cell r="A11">
            <v>24510080800</v>
          </cell>
          <cell r="B11" t="str">
            <v>Broadway East, Baltimore, MD</v>
          </cell>
          <cell r="C11">
            <v>0.49280000000000002</v>
          </cell>
        </row>
        <row r="12">
          <cell r="A12">
            <v>24510200100</v>
          </cell>
          <cell r="B12" t="str">
            <v>Lexington, Baltimore, MD</v>
          </cell>
          <cell r="C12">
            <v>0.47499999999999998</v>
          </cell>
        </row>
        <row r="13">
          <cell r="A13">
            <v>24510070400</v>
          </cell>
          <cell r="B13" t="str">
            <v>Gay Street, Baltimore, MD</v>
          </cell>
          <cell r="C13">
            <v>0.4743</v>
          </cell>
        </row>
        <row r="14">
          <cell r="A14">
            <v>24510150100</v>
          </cell>
          <cell r="B14" t="str">
            <v>Sandtown-Winchester, Baltimore, MD</v>
          </cell>
          <cell r="C14">
            <v>0.47320000000000001</v>
          </cell>
        </row>
        <row r="15">
          <cell r="A15">
            <v>24510200500</v>
          </cell>
          <cell r="B15" t="str">
            <v>Mill Hill, Baltimore, MD</v>
          </cell>
          <cell r="C15">
            <v>0.45939999999999998</v>
          </cell>
        </row>
        <row r="16">
          <cell r="A16">
            <v>24510151300</v>
          </cell>
          <cell r="B16" t="str">
            <v>Central Park Heights, Baltimore, MD</v>
          </cell>
          <cell r="C16">
            <v>0.44309999999999999</v>
          </cell>
        </row>
        <row r="17">
          <cell r="A17">
            <v>24510120600</v>
          </cell>
          <cell r="B17" t="str">
            <v>Old Goucher, Baltimore, MD</v>
          </cell>
          <cell r="C17">
            <v>0.43930000000000002</v>
          </cell>
        </row>
        <row r="18">
          <cell r="A18">
            <v>24510200300</v>
          </cell>
          <cell r="B18" t="str">
            <v>Bentalou-Smallwood, Baltimore, MD</v>
          </cell>
          <cell r="C18">
            <v>0.4375</v>
          </cell>
        </row>
        <row r="19">
          <cell r="A19">
            <v>24510070200</v>
          </cell>
          <cell r="B19" t="str">
            <v>Madison - Eastend, Baltimore, MD</v>
          </cell>
          <cell r="C19">
            <v>0.43669999999999998</v>
          </cell>
        </row>
        <row r="20">
          <cell r="A20">
            <v>24510100200</v>
          </cell>
          <cell r="B20" t="str">
            <v>Baltimore, MD</v>
          </cell>
          <cell r="C20">
            <v>0.43140000000000001</v>
          </cell>
        </row>
        <row r="21">
          <cell r="A21">
            <v>24510260604</v>
          </cell>
          <cell r="B21" t="str">
            <v>O'Donnell Heights, Baltimore, MD</v>
          </cell>
          <cell r="C21">
            <v>0.42909999999999998</v>
          </cell>
        </row>
        <row r="22">
          <cell r="A22">
            <v>24510120400</v>
          </cell>
          <cell r="B22" t="str">
            <v>Barclay, Baltimore, MD</v>
          </cell>
          <cell r="C22">
            <v>0.42670000000000002</v>
          </cell>
        </row>
        <row r="23">
          <cell r="A23">
            <v>24510100100</v>
          </cell>
          <cell r="B23" t="str">
            <v>Johnson Square, Baltimore, MD</v>
          </cell>
          <cell r="C23">
            <v>0.42649999999999999</v>
          </cell>
        </row>
        <row r="24">
          <cell r="A24">
            <v>24510140300</v>
          </cell>
          <cell r="B24" t="str">
            <v>Druid Heights, Baltimore, MD</v>
          </cell>
          <cell r="C24">
            <v>0.42620000000000002</v>
          </cell>
        </row>
        <row r="25">
          <cell r="A25">
            <v>24510030100</v>
          </cell>
          <cell r="B25" t="str">
            <v>Perkins Homes, Baltimore, MD</v>
          </cell>
          <cell r="C25">
            <v>0.41899999999999998</v>
          </cell>
        </row>
        <row r="26">
          <cell r="A26">
            <v>24510180200</v>
          </cell>
          <cell r="B26" t="str">
            <v>Poppleton, Baltimore, MD</v>
          </cell>
          <cell r="C26">
            <v>0.40699999999999997</v>
          </cell>
        </row>
        <row r="27">
          <cell r="A27">
            <v>24510200702</v>
          </cell>
          <cell r="B27" t="str">
            <v>Saint Joseph's, Baltimore, MD</v>
          </cell>
          <cell r="C27">
            <v>0.39560000000000001</v>
          </cell>
        </row>
        <row r="28">
          <cell r="A28">
            <v>24510160300</v>
          </cell>
          <cell r="B28" t="str">
            <v>Sandtown-Winchester, Baltimore, MD</v>
          </cell>
          <cell r="C28">
            <v>0.39369999999999999</v>
          </cell>
        </row>
        <row r="29">
          <cell r="A29">
            <v>24510200400</v>
          </cell>
          <cell r="B29" t="str">
            <v>Shipley Hill, Baltimore, MD</v>
          </cell>
          <cell r="C29">
            <v>0.38800000000000001</v>
          </cell>
        </row>
        <row r="30">
          <cell r="A30">
            <v>24510160100</v>
          </cell>
          <cell r="B30" t="str">
            <v>Harlem Park, Baltimore, MD</v>
          </cell>
          <cell r="C30">
            <v>0.38790000000000002</v>
          </cell>
        </row>
        <row r="31">
          <cell r="A31">
            <v>24510190100</v>
          </cell>
          <cell r="B31" t="str">
            <v>Franklin Square, Baltimore, MD</v>
          </cell>
          <cell r="C31">
            <v>0.38719999999999999</v>
          </cell>
        </row>
        <row r="32">
          <cell r="A32">
            <v>24510200200</v>
          </cell>
          <cell r="B32" t="str">
            <v>Lexington, Baltimore, MD</v>
          </cell>
          <cell r="C32">
            <v>0.38719999999999999</v>
          </cell>
        </row>
        <row r="33">
          <cell r="A33">
            <v>24510160400</v>
          </cell>
          <cell r="B33" t="str">
            <v>Midtown Edmondson, Baltimore, MD</v>
          </cell>
          <cell r="C33">
            <v>0.37769999999999998</v>
          </cell>
        </row>
        <row r="34">
          <cell r="A34">
            <v>24510160700</v>
          </cell>
          <cell r="B34" t="str">
            <v>Rosemont, Baltimore, MD</v>
          </cell>
          <cell r="C34">
            <v>0.37159999999999999</v>
          </cell>
        </row>
        <row r="35">
          <cell r="A35">
            <v>24510260303</v>
          </cell>
          <cell r="B35" t="str">
            <v>Claremont - Freedom, Baltimore, MD</v>
          </cell>
          <cell r="C35">
            <v>0.37080000000000002</v>
          </cell>
        </row>
        <row r="36">
          <cell r="A36">
            <v>24510090800</v>
          </cell>
          <cell r="B36" t="str">
            <v>East Baltimore Midway, Baltimore, MD</v>
          </cell>
          <cell r="C36">
            <v>0.3669</v>
          </cell>
        </row>
        <row r="37">
          <cell r="A37">
            <v>24510190300</v>
          </cell>
          <cell r="B37" t="str">
            <v>Mount Clare, Baltimore, MD</v>
          </cell>
          <cell r="C37">
            <v>0.36259999999999998</v>
          </cell>
        </row>
        <row r="38">
          <cell r="A38">
            <v>24510160600</v>
          </cell>
          <cell r="B38" t="str">
            <v>Mosher, Baltimore, MD</v>
          </cell>
          <cell r="C38">
            <v>0.36230000000000001</v>
          </cell>
        </row>
        <row r="39">
          <cell r="A39">
            <v>24510180300</v>
          </cell>
          <cell r="B39" t="str">
            <v>Hollins Market, Baltimore, MD</v>
          </cell>
          <cell r="C39">
            <v>0.36149999999999999</v>
          </cell>
        </row>
        <row r="40">
          <cell r="A40">
            <v>24510120202</v>
          </cell>
          <cell r="B40" t="str">
            <v>Baltimore, MD</v>
          </cell>
          <cell r="C40">
            <v>0.36020000000000002</v>
          </cell>
        </row>
        <row r="41">
          <cell r="A41">
            <v>24510070100</v>
          </cell>
          <cell r="B41" t="str">
            <v>Baltimore, MD</v>
          </cell>
          <cell r="C41">
            <v>0.35880000000000001</v>
          </cell>
        </row>
        <row r="42">
          <cell r="A42">
            <v>24510271002</v>
          </cell>
          <cell r="B42" t="str">
            <v>Winston - Govans, Baltimore, MD</v>
          </cell>
          <cell r="C42">
            <v>0.35759999999999997</v>
          </cell>
        </row>
        <row r="43">
          <cell r="A43">
            <v>24510250303</v>
          </cell>
          <cell r="B43" t="str">
            <v>Morrell Park, Baltimore, MD</v>
          </cell>
          <cell r="C43">
            <v>0.35549999999999998</v>
          </cell>
        </row>
        <row r="44">
          <cell r="A44">
            <v>24510250402</v>
          </cell>
          <cell r="B44" t="str">
            <v>Brooklyn, Baltimore, MD</v>
          </cell>
          <cell r="C44">
            <v>0.3518</v>
          </cell>
        </row>
        <row r="45">
          <cell r="A45">
            <v>24510130200</v>
          </cell>
          <cell r="B45" t="str">
            <v>Reservoir Hill, Baltimore, MD</v>
          </cell>
          <cell r="C45">
            <v>0.34899999999999998</v>
          </cell>
        </row>
        <row r="46">
          <cell r="A46">
            <v>24510271802</v>
          </cell>
          <cell r="B46" t="str">
            <v>Langston Hughes, Baltimore, MD</v>
          </cell>
          <cell r="C46">
            <v>0.3483</v>
          </cell>
        </row>
        <row r="47">
          <cell r="A47">
            <v>24510271600</v>
          </cell>
          <cell r="B47" t="str">
            <v>Edgecomb, Baltimore, MD</v>
          </cell>
          <cell r="C47">
            <v>0.34439999999999998</v>
          </cell>
        </row>
        <row r="48">
          <cell r="A48">
            <v>24510210200</v>
          </cell>
          <cell r="B48" t="str">
            <v>Pigtown, Baltimore, MD</v>
          </cell>
          <cell r="C48">
            <v>0.34250000000000003</v>
          </cell>
        </row>
        <row r="49">
          <cell r="A49">
            <v>24510271801</v>
          </cell>
          <cell r="B49" t="str">
            <v>Arlington, Baltimore, MD</v>
          </cell>
          <cell r="C49">
            <v>0.33710000000000001</v>
          </cell>
        </row>
        <row r="50">
          <cell r="A50">
            <v>24510130100</v>
          </cell>
          <cell r="B50" t="str">
            <v>Reservoir Hill, Baltimore, MD</v>
          </cell>
          <cell r="C50">
            <v>0.33660000000000001</v>
          </cell>
        </row>
        <row r="51">
          <cell r="A51">
            <v>24510250301</v>
          </cell>
          <cell r="B51" t="str">
            <v>Westport, Baltimore, MD</v>
          </cell>
          <cell r="C51">
            <v>0.33550000000000002</v>
          </cell>
        </row>
        <row r="52">
          <cell r="A52">
            <v>24510130300</v>
          </cell>
          <cell r="B52" t="str">
            <v>Penn North, Baltimore, MD</v>
          </cell>
          <cell r="C52">
            <v>0.33100000000000002</v>
          </cell>
        </row>
        <row r="53">
          <cell r="A53">
            <v>24510190200</v>
          </cell>
          <cell r="B53" t="str">
            <v>Pratt Monroe, Baltimore, MD</v>
          </cell>
          <cell r="C53">
            <v>0.33079999999999998</v>
          </cell>
        </row>
        <row r="54">
          <cell r="A54">
            <v>24510060100</v>
          </cell>
          <cell r="B54" t="str">
            <v>Patterson Park, Baltimore, MD</v>
          </cell>
          <cell r="C54">
            <v>0.32679999999999998</v>
          </cell>
        </row>
        <row r="55">
          <cell r="A55">
            <v>24510080500</v>
          </cell>
          <cell r="B55" t="str">
            <v>Darley Park, Baltimore, MD</v>
          </cell>
          <cell r="C55">
            <v>0.3266</v>
          </cell>
        </row>
        <row r="56">
          <cell r="A56">
            <v>24510080302</v>
          </cell>
          <cell r="B56" t="str">
            <v>Berea, Baltimore, MD</v>
          </cell>
          <cell r="C56">
            <v>0.32200000000000001</v>
          </cell>
        </row>
        <row r="57">
          <cell r="A57">
            <v>24510250500</v>
          </cell>
          <cell r="B57" t="str">
            <v>Curtis Bay, Baltimore, MD</v>
          </cell>
          <cell r="C57">
            <v>0.31780000000000003</v>
          </cell>
        </row>
        <row r="58">
          <cell r="A58">
            <v>24510260301</v>
          </cell>
          <cell r="B58" t="str">
            <v>Belair - Edison, Baltimore, MD</v>
          </cell>
          <cell r="C58">
            <v>0.31630000000000003</v>
          </cell>
        </row>
        <row r="59">
          <cell r="A59">
            <v>24005430300</v>
          </cell>
          <cell r="B59" t="str">
            <v>Lansdowne - Baltimore Highlands, Halethorpe, MD</v>
          </cell>
          <cell r="C59">
            <v>0.316</v>
          </cell>
        </row>
        <row r="60">
          <cell r="A60">
            <v>24510151200</v>
          </cell>
          <cell r="B60" t="str">
            <v>Park Circle, Baltimore, MD</v>
          </cell>
          <cell r="C60">
            <v>0.31559999999999999</v>
          </cell>
        </row>
        <row r="61">
          <cell r="A61">
            <v>24510090700</v>
          </cell>
          <cell r="B61" t="str">
            <v>Coldstream - Homestead - Montebello, Baltimore, MD</v>
          </cell>
          <cell r="C61">
            <v>0.31290000000000001</v>
          </cell>
        </row>
        <row r="62">
          <cell r="A62">
            <v>24510280101</v>
          </cell>
          <cell r="B62" t="str">
            <v>Reisterstown Station, Baltimore, MD</v>
          </cell>
          <cell r="C62">
            <v>0.3105</v>
          </cell>
        </row>
        <row r="63">
          <cell r="A63">
            <v>24510170300</v>
          </cell>
          <cell r="B63" t="str">
            <v>Upton, Baltimore, MD</v>
          </cell>
          <cell r="C63">
            <v>0.31030000000000002</v>
          </cell>
        </row>
        <row r="64">
          <cell r="A64">
            <v>24510130400</v>
          </cell>
          <cell r="B64" t="str">
            <v>Woodbrook, Baltimore, MD</v>
          </cell>
          <cell r="C64">
            <v>0.30499999999999999</v>
          </cell>
        </row>
        <row r="65">
          <cell r="A65">
            <v>24510090400</v>
          </cell>
          <cell r="B65" t="str">
            <v>Better Waverly, Baltimore, MD</v>
          </cell>
          <cell r="C65">
            <v>0.30480000000000002</v>
          </cell>
        </row>
        <row r="66">
          <cell r="A66">
            <v>24005430101</v>
          </cell>
          <cell r="B66" t="str">
            <v>Lansdowne - Baltimore Highlands, Lansdowne, MD</v>
          </cell>
          <cell r="C66">
            <v>0.3044</v>
          </cell>
        </row>
        <row r="67">
          <cell r="A67">
            <v>24510160200</v>
          </cell>
          <cell r="B67" t="str">
            <v>Sandtown-Winchester, Baltimore, MD</v>
          </cell>
          <cell r="C67">
            <v>0.3034</v>
          </cell>
        </row>
        <row r="68">
          <cell r="A68">
            <v>24510260404</v>
          </cell>
          <cell r="B68" t="str">
            <v>Baltimore Highlands, Baltimore, MD</v>
          </cell>
          <cell r="C68">
            <v>0.3004</v>
          </cell>
        </row>
        <row r="69">
          <cell r="A69">
            <v>24510260403</v>
          </cell>
          <cell r="B69" t="str">
            <v>Cedonia, Baltimore, MD</v>
          </cell>
          <cell r="C69">
            <v>0.2989</v>
          </cell>
        </row>
        <row r="70">
          <cell r="A70">
            <v>24005421300</v>
          </cell>
          <cell r="B70" t="str">
            <v>Dundalk, MD</v>
          </cell>
          <cell r="C70">
            <v>0.29609999999999997</v>
          </cell>
        </row>
        <row r="71">
          <cell r="A71">
            <v>24510040200</v>
          </cell>
          <cell r="B71" t="str">
            <v>Downtown, Baltimore, MD</v>
          </cell>
          <cell r="C71">
            <v>0.29599999999999999</v>
          </cell>
        </row>
        <row r="72">
          <cell r="A72">
            <v>24510120500</v>
          </cell>
          <cell r="B72" t="str">
            <v>Greenmount West, Baltimore, MD</v>
          </cell>
          <cell r="C72">
            <v>0.29530000000000001</v>
          </cell>
        </row>
        <row r="73">
          <cell r="A73">
            <v>24510120300</v>
          </cell>
          <cell r="B73" t="str">
            <v>Harwood, Baltimore, MD</v>
          </cell>
          <cell r="C73">
            <v>0.2949</v>
          </cell>
        </row>
        <row r="74">
          <cell r="A74">
            <v>24510150600</v>
          </cell>
          <cell r="B74" t="str">
            <v>NW Community Action, Baltimore, MD</v>
          </cell>
          <cell r="C74">
            <v>0.29239999999999999</v>
          </cell>
        </row>
        <row r="75">
          <cell r="A75">
            <v>24005491300</v>
          </cell>
          <cell r="B75" t="str">
            <v>Baltimore, MD</v>
          </cell>
          <cell r="C75">
            <v>0.29070000000000001</v>
          </cell>
        </row>
        <row r="76">
          <cell r="A76">
            <v>24510270101</v>
          </cell>
          <cell r="B76" t="str">
            <v>Arcadia, Baltimore, MD</v>
          </cell>
          <cell r="C76">
            <v>0.28989999999999999</v>
          </cell>
        </row>
        <row r="77">
          <cell r="A77">
            <v>24510080700</v>
          </cell>
          <cell r="B77" t="str">
            <v>Broadway East, Baltimore, MD</v>
          </cell>
          <cell r="C77">
            <v>0.2873</v>
          </cell>
        </row>
        <row r="78">
          <cell r="A78">
            <v>24510080600</v>
          </cell>
          <cell r="B78" t="str">
            <v>Broadway East, Baltimore, MD</v>
          </cell>
          <cell r="C78">
            <v>0.28620000000000001</v>
          </cell>
        </row>
        <row r="79">
          <cell r="A79">
            <v>24510200600</v>
          </cell>
          <cell r="B79" t="str">
            <v>Baltimore, MD</v>
          </cell>
          <cell r="C79">
            <v>0.28260000000000002</v>
          </cell>
        </row>
        <row r="80">
          <cell r="A80">
            <v>24510170100</v>
          </cell>
          <cell r="B80" t="str">
            <v>Downtown, Baltimore, MD</v>
          </cell>
          <cell r="C80">
            <v>0.27839999999999998</v>
          </cell>
        </row>
        <row r="81">
          <cell r="A81">
            <v>24510080102</v>
          </cell>
          <cell r="B81" t="str">
            <v>Belair - Edison, Baltimore, MD</v>
          </cell>
          <cell r="C81">
            <v>0.27810000000000001</v>
          </cell>
        </row>
        <row r="82">
          <cell r="A82">
            <v>24510260302</v>
          </cell>
          <cell r="B82" t="str">
            <v>Belair - Edison, Baltimore, MD</v>
          </cell>
          <cell r="C82">
            <v>0.27510000000000001</v>
          </cell>
        </row>
        <row r="83">
          <cell r="A83">
            <v>24510151000</v>
          </cell>
          <cell r="B83" t="str">
            <v>Dorchester, Baltimore, MD</v>
          </cell>
          <cell r="C83">
            <v>0.27450000000000002</v>
          </cell>
        </row>
        <row r="84">
          <cell r="A84">
            <v>24510271101</v>
          </cell>
          <cell r="B84" t="str">
            <v>Radnor - Winston, Baltimore, MD</v>
          </cell>
          <cell r="C84">
            <v>0.27389999999999998</v>
          </cell>
        </row>
        <row r="85">
          <cell r="A85">
            <v>24510210100</v>
          </cell>
          <cell r="B85" t="str">
            <v>Pigtown, Baltimore, MD</v>
          </cell>
          <cell r="C85">
            <v>0.27229999999999999</v>
          </cell>
        </row>
        <row r="86">
          <cell r="A86">
            <v>24510200701</v>
          </cell>
          <cell r="B86" t="str">
            <v>Allendale, Baltimore, MD</v>
          </cell>
          <cell r="C86">
            <v>0.26979999999999998</v>
          </cell>
        </row>
        <row r="87">
          <cell r="A87">
            <v>24510260800</v>
          </cell>
          <cell r="B87" t="str">
            <v>Baltimore Highlands, Baltimore, MD</v>
          </cell>
          <cell r="C87">
            <v>0.26840000000000003</v>
          </cell>
        </row>
        <row r="88">
          <cell r="A88">
            <v>24510260605</v>
          </cell>
          <cell r="B88" t="str">
            <v>Medford - Broening, Baltimore, MD</v>
          </cell>
          <cell r="C88">
            <v>0.26750000000000002</v>
          </cell>
        </row>
        <row r="89">
          <cell r="A89">
            <v>24510040100</v>
          </cell>
          <cell r="B89" t="str">
            <v>Downtown, Baltimore, MD</v>
          </cell>
          <cell r="C89">
            <v>0.26579999999999998</v>
          </cell>
        </row>
        <row r="90">
          <cell r="A90">
            <v>24510150500</v>
          </cell>
          <cell r="B90" t="str">
            <v>Burleith-Leighton, Baltimore, MD</v>
          </cell>
          <cell r="C90">
            <v>0.26490000000000002</v>
          </cell>
        </row>
        <row r="91">
          <cell r="A91">
            <v>24510150200</v>
          </cell>
          <cell r="B91" t="str">
            <v>Sandtown-Winchester, Baltimore, MD</v>
          </cell>
          <cell r="C91">
            <v>0.26329999999999998</v>
          </cell>
        </row>
        <row r="92">
          <cell r="A92">
            <v>24510271900</v>
          </cell>
          <cell r="B92" t="str">
            <v>Glen, Baltimore, MD</v>
          </cell>
          <cell r="C92">
            <v>0.2616</v>
          </cell>
        </row>
        <row r="93">
          <cell r="A93">
            <v>24510200800</v>
          </cell>
          <cell r="B93" t="str">
            <v>Irvington, Baltimore, MD</v>
          </cell>
          <cell r="C93">
            <v>0.26150000000000001</v>
          </cell>
        </row>
        <row r="94">
          <cell r="A94">
            <v>24510250203</v>
          </cell>
          <cell r="B94" t="str">
            <v>Cherry Hill, Baltimore, MD</v>
          </cell>
          <cell r="C94">
            <v>0.25990000000000002</v>
          </cell>
        </row>
        <row r="95">
          <cell r="A95">
            <v>24510090900</v>
          </cell>
          <cell r="B95" t="str">
            <v>Oliver, Baltimore, MD</v>
          </cell>
          <cell r="C95">
            <v>0.25890000000000002</v>
          </cell>
        </row>
        <row r="96">
          <cell r="A96">
            <v>24510160500</v>
          </cell>
          <cell r="B96" t="str">
            <v>Bridgeview-Greenlawn, Baltimore, MD</v>
          </cell>
          <cell r="C96">
            <v>0.25690000000000002</v>
          </cell>
        </row>
        <row r="97">
          <cell r="A97">
            <v>24005420900</v>
          </cell>
          <cell r="B97" t="str">
            <v>Dundalk, MD</v>
          </cell>
          <cell r="C97">
            <v>0.25650000000000001</v>
          </cell>
        </row>
        <row r="98">
          <cell r="A98">
            <v>24510150800</v>
          </cell>
          <cell r="B98" t="str">
            <v>Garwyn Oaks, Baltimore, MD</v>
          </cell>
          <cell r="C98">
            <v>0.25629999999999997</v>
          </cell>
        </row>
        <row r="99">
          <cell r="A99">
            <v>24510280301</v>
          </cell>
          <cell r="B99" t="str">
            <v>Gwynn Oak, Baltimore, MD</v>
          </cell>
          <cell r="C99">
            <v>0.25430000000000003</v>
          </cell>
        </row>
        <row r="100">
          <cell r="A100">
            <v>24510280404</v>
          </cell>
          <cell r="B100" t="str">
            <v>Irvington, Baltimore, MD</v>
          </cell>
          <cell r="C100">
            <v>0.25380000000000003</v>
          </cell>
        </row>
        <row r="101">
          <cell r="A101">
            <v>24510280302</v>
          </cell>
          <cell r="B101" t="str">
            <v>West Forest Park, Baltimore, MD</v>
          </cell>
          <cell r="C101">
            <v>0.24690000000000001</v>
          </cell>
        </row>
        <row r="102">
          <cell r="A102">
            <v>24510260402</v>
          </cell>
          <cell r="B102" t="str">
            <v>Frankford, Baltimore, MD</v>
          </cell>
          <cell r="C102">
            <v>0.2457</v>
          </cell>
        </row>
        <row r="103">
          <cell r="A103">
            <v>24510080200</v>
          </cell>
          <cell r="B103" t="str">
            <v>Broadway East, Baltimore, MD</v>
          </cell>
          <cell r="C103">
            <v>0.24329999999999999</v>
          </cell>
        </row>
        <row r="104">
          <cell r="A104">
            <v>24005421000</v>
          </cell>
          <cell r="B104" t="str">
            <v>Dundalk, MD</v>
          </cell>
          <cell r="C104">
            <v>0.2427</v>
          </cell>
        </row>
        <row r="105">
          <cell r="A105">
            <v>24005491500</v>
          </cell>
          <cell r="B105" t="str">
            <v>Parkville, MD</v>
          </cell>
          <cell r="C105">
            <v>0.24249999999999999</v>
          </cell>
        </row>
        <row r="106">
          <cell r="A106">
            <v>24510270701</v>
          </cell>
          <cell r="B106" t="str">
            <v>Harford - Echodale - Perring Parkway, Baltimore, MD</v>
          </cell>
          <cell r="C106">
            <v>0.2417</v>
          </cell>
        </row>
        <row r="107">
          <cell r="A107">
            <v>24003750101</v>
          </cell>
          <cell r="B107" t="str">
            <v>Brooklyn Park, MD</v>
          </cell>
          <cell r="C107">
            <v>0.24010000000000001</v>
          </cell>
        </row>
        <row r="108">
          <cell r="A108">
            <v>24510090300</v>
          </cell>
          <cell r="B108" t="str">
            <v>Ednor Gardens - Lakeside, Baltimore, MD</v>
          </cell>
          <cell r="C108">
            <v>0.23849999999999999</v>
          </cell>
        </row>
        <row r="109">
          <cell r="A109">
            <v>24510150702</v>
          </cell>
          <cell r="B109" t="str">
            <v>Walbrook, Baltimore, MD</v>
          </cell>
          <cell r="C109">
            <v>0.23730000000000001</v>
          </cell>
        </row>
        <row r="110">
          <cell r="A110">
            <v>24510060200</v>
          </cell>
          <cell r="B110" t="str">
            <v>Baltimore, MD</v>
          </cell>
          <cell r="C110">
            <v>0.23710000000000001</v>
          </cell>
        </row>
        <row r="111">
          <cell r="A111">
            <v>24510150300</v>
          </cell>
          <cell r="B111" t="str">
            <v>Coppin Heights, Baltimore, MD</v>
          </cell>
          <cell r="C111">
            <v>0.2349</v>
          </cell>
        </row>
        <row r="112">
          <cell r="A112">
            <v>24510280200</v>
          </cell>
          <cell r="B112" t="str">
            <v>Gwynn Oak, Baltimore, MD</v>
          </cell>
          <cell r="C112">
            <v>0.23469999999999999</v>
          </cell>
        </row>
        <row r="113">
          <cell r="A113">
            <v>24510272007</v>
          </cell>
          <cell r="B113" t="str">
            <v>Fallstaff, Baltimore, MD</v>
          </cell>
          <cell r="C113">
            <v>0.23449999999999999</v>
          </cell>
        </row>
        <row r="114">
          <cell r="A114">
            <v>24510080301</v>
          </cell>
          <cell r="B114" t="str">
            <v>Berea, Baltimore, MD</v>
          </cell>
          <cell r="C114">
            <v>0.23039999999999999</v>
          </cell>
        </row>
        <row r="115">
          <cell r="A115">
            <v>24005403402</v>
          </cell>
          <cell r="B115" t="str">
            <v>Pikesville, MD</v>
          </cell>
          <cell r="C115">
            <v>0.2301</v>
          </cell>
        </row>
        <row r="116">
          <cell r="A116">
            <v>24005420301</v>
          </cell>
          <cell r="B116" t="str">
            <v>Dundalk, MD</v>
          </cell>
          <cell r="C116">
            <v>0.23</v>
          </cell>
        </row>
        <row r="117">
          <cell r="A117">
            <v>24005450800</v>
          </cell>
          <cell r="B117" t="str">
            <v>Essex, MD</v>
          </cell>
          <cell r="C117">
            <v>0.22969999999999999</v>
          </cell>
        </row>
        <row r="118">
          <cell r="A118">
            <v>24005420600</v>
          </cell>
          <cell r="B118" t="str">
            <v>Baltimore, MD</v>
          </cell>
          <cell r="C118">
            <v>0.22919999999999999</v>
          </cell>
        </row>
        <row r="119">
          <cell r="A119">
            <v>24510250101</v>
          </cell>
          <cell r="B119" t="str">
            <v>Beechfield, Baltimore, MD</v>
          </cell>
          <cell r="C119">
            <v>0.22650000000000001</v>
          </cell>
        </row>
        <row r="120">
          <cell r="A120">
            <v>24510060300</v>
          </cell>
          <cell r="B120" t="str">
            <v>Butchers Hill, Baltimore, MD</v>
          </cell>
          <cell r="C120">
            <v>0.22600000000000001</v>
          </cell>
        </row>
        <row r="121">
          <cell r="A121">
            <v>24510260700</v>
          </cell>
          <cell r="B121" t="str">
            <v>Fifteenth Street, Baltimore, MD</v>
          </cell>
          <cell r="C121">
            <v>0.2243</v>
          </cell>
        </row>
        <row r="122">
          <cell r="A122">
            <v>24510060400</v>
          </cell>
          <cell r="B122" t="str">
            <v>Baltimore, MD</v>
          </cell>
          <cell r="C122">
            <v>0.22159999999999999</v>
          </cell>
        </row>
        <row r="123">
          <cell r="A123">
            <v>24510280102</v>
          </cell>
          <cell r="B123" t="str">
            <v>Gwynn Oak, Baltimore, MD</v>
          </cell>
          <cell r="C123">
            <v>0.2213</v>
          </cell>
        </row>
        <row r="124">
          <cell r="A124">
            <v>24510250401</v>
          </cell>
          <cell r="B124" t="str">
            <v>Brooklyn, Baltimore, MD</v>
          </cell>
          <cell r="C124">
            <v>0.21990000000000001</v>
          </cell>
        </row>
        <row r="125">
          <cell r="A125">
            <v>24510030200</v>
          </cell>
          <cell r="B125" t="str">
            <v>Little Italy, Baltimore, MD</v>
          </cell>
          <cell r="C125">
            <v>0.21890000000000001</v>
          </cell>
        </row>
        <row r="126">
          <cell r="A126">
            <v>24510150900</v>
          </cell>
          <cell r="B126" t="str">
            <v>Windsor Hills, Baltimore, MD</v>
          </cell>
          <cell r="C126">
            <v>0.21829999999999999</v>
          </cell>
        </row>
        <row r="127">
          <cell r="A127">
            <v>24510110100</v>
          </cell>
          <cell r="B127" t="str">
            <v>Downtown, Baltimore, MD</v>
          </cell>
          <cell r="C127">
            <v>0.2155</v>
          </cell>
        </row>
        <row r="128">
          <cell r="A128">
            <v>24510120201</v>
          </cell>
          <cell r="B128" t="str">
            <v>Baltimore, MD</v>
          </cell>
          <cell r="C128">
            <v>0.21479999999999999</v>
          </cell>
        </row>
        <row r="129">
          <cell r="A129">
            <v>24510260203</v>
          </cell>
          <cell r="B129" t="str">
            <v>Frankford, Baltimore, MD</v>
          </cell>
          <cell r="C129">
            <v>0.21279999999999999</v>
          </cell>
        </row>
        <row r="130">
          <cell r="A130">
            <v>24510250206</v>
          </cell>
          <cell r="B130" t="str">
            <v>Morrell Park, Baltimore, MD</v>
          </cell>
          <cell r="C130">
            <v>0.20630000000000001</v>
          </cell>
        </row>
        <row r="131">
          <cell r="A131">
            <v>24510090100</v>
          </cell>
          <cell r="B131" t="str">
            <v>Ednor Gardens - Lakeside, Baltimore, MD</v>
          </cell>
          <cell r="C131">
            <v>0.2059</v>
          </cell>
        </row>
        <row r="132">
          <cell r="A132">
            <v>24510271001</v>
          </cell>
          <cell r="B132" t="str">
            <v>Baltimore, MD</v>
          </cell>
          <cell r="C132">
            <v>0.2046</v>
          </cell>
        </row>
        <row r="133">
          <cell r="A133">
            <v>24510250207</v>
          </cell>
          <cell r="B133" t="str">
            <v>Cherry Hill, Baltimore, MD</v>
          </cell>
          <cell r="C133">
            <v>0.2021</v>
          </cell>
        </row>
        <row r="134">
          <cell r="A134">
            <v>24510260401</v>
          </cell>
          <cell r="B134" t="str">
            <v>Armistead Gardens, Baltimore, MD</v>
          </cell>
          <cell r="C134">
            <v>0.19689999999999999</v>
          </cell>
        </row>
        <row r="135">
          <cell r="A135">
            <v>24510272006</v>
          </cell>
          <cell r="B135" t="str">
            <v>Glen, Baltimore, MD</v>
          </cell>
          <cell r="C135">
            <v>0.1963</v>
          </cell>
        </row>
        <row r="136">
          <cell r="A136">
            <v>24510270903</v>
          </cell>
          <cell r="B136" t="str">
            <v>Hillen, Baltimore, MD</v>
          </cell>
          <cell r="C136">
            <v>0.19550000000000001</v>
          </cell>
        </row>
        <row r="137">
          <cell r="A137">
            <v>24005451300</v>
          </cell>
          <cell r="B137" t="str">
            <v>Middle River, MD</v>
          </cell>
          <cell r="C137">
            <v>0.19270000000000001</v>
          </cell>
        </row>
        <row r="138">
          <cell r="A138">
            <v>24510110200</v>
          </cell>
          <cell r="B138" t="str">
            <v>Downtown, Baltimore, MD</v>
          </cell>
          <cell r="C138">
            <v>0.19209999999999999</v>
          </cell>
        </row>
        <row r="139">
          <cell r="A139">
            <v>24510150701</v>
          </cell>
          <cell r="B139" t="str">
            <v>Hanlon Longwood, Baltimore, MD</v>
          </cell>
          <cell r="C139">
            <v>0.19159999999999999</v>
          </cell>
        </row>
        <row r="140">
          <cell r="A140">
            <v>24003750102</v>
          </cell>
          <cell r="B140" t="str">
            <v>Baltimore, MD</v>
          </cell>
          <cell r="C140">
            <v>0.1913</v>
          </cell>
        </row>
        <row r="141">
          <cell r="A141">
            <v>24510270801</v>
          </cell>
          <cell r="B141" t="str">
            <v>Idlewood, Baltimore, MD</v>
          </cell>
          <cell r="C141">
            <v>0.188</v>
          </cell>
        </row>
        <row r="142">
          <cell r="A142">
            <v>24510260101</v>
          </cell>
          <cell r="B142" t="str">
            <v>Cedmont, Baltimore, MD</v>
          </cell>
          <cell r="C142">
            <v>0.18720000000000001</v>
          </cell>
        </row>
        <row r="143">
          <cell r="A143">
            <v>24510271700</v>
          </cell>
          <cell r="B143" t="str">
            <v>Central Park Heights, Baltimore, MD</v>
          </cell>
          <cell r="C143">
            <v>0.187</v>
          </cell>
        </row>
        <row r="144">
          <cell r="A144">
            <v>24510250103</v>
          </cell>
          <cell r="B144" t="str">
            <v>Violetville, Baltimore, MD</v>
          </cell>
          <cell r="C144">
            <v>0.1865</v>
          </cell>
        </row>
        <row r="145">
          <cell r="A145">
            <v>24510261000</v>
          </cell>
          <cell r="B145" t="str">
            <v>Patterson Park, Baltimore, MD</v>
          </cell>
          <cell r="C145">
            <v>0.1847</v>
          </cell>
        </row>
        <row r="146">
          <cell r="A146">
            <v>24510272005</v>
          </cell>
          <cell r="B146" t="str">
            <v>Cross Country, Baltimore, MD</v>
          </cell>
          <cell r="C146">
            <v>0.1845</v>
          </cell>
        </row>
        <row r="147">
          <cell r="A147">
            <v>24510270804</v>
          </cell>
          <cell r="B147" t="str">
            <v>Lake Walker, Baltimore, MD</v>
          </cell>
          <cell r="C147">
            <v>0.18390000000000001</v>
          </cell>
        </row>
        <row r="148">
          <cell r="A148">
            <v>24510160801</v>
          </cell>
          <cell r="B148" t="str">
            <v>Edmondson, Baltimore, MD</v>
          </cell>
          <cell r="C148">
            <v>0.18340000000000001</v>
          </cell>
        </row>
        <row r="149">
          <cell r="A149">
            <v>24005450503</v>
          </cell>
          <cell r="B149" t="str">
            <v>Essex, MD</v>
          </cell>
          <cell r="C149">
            <v>0.18179999999999999</v>
          </cell>
        </row>
        <row r="150">
          <cell r="A150">
            <v>24510230100</v>
          </cell>
          <cell r="B150" t="str">
            <v>Baltimore, MD</v>
          </cell>
          <cell r="C150">
            <v>0.18160000000000001</v>
          </cell>
        </row>
        <row r="151">
          <cell r="A151">
            <v>24510260202</v>
          </cell>
          <cell r="B151" t="str">
            <v>Parkside, Baltimore, MD</v>
          </cell>
          <cell r="C151">
            <v>0.18029999999999999</v>
          </cell>
        </row>
        <row r="152">
          <cell r="A152">
            <v>24510120100</v>
          </cell>
          <cell r="B152" t="str">
            <v>Tuscany - Canterbury, Baltimore, MD</v>
          </cell>
          <cell r="C152">
            <v>0.1774</v>
          </cell>
        </row>
        <row r="153">
          <cell r="A153">
            <v>24510260201</v>
          </cell>
          <cell r="B153" t="str">
            <v>Frankford, Baltimore, MD</v>
          </cell>
          <cell r="C153">
            <v>0.17730000000000001</v>
          </cell>
        </row>
        <row r="154">
          <cell r="A154">
            <v>24510140100</v>
          </cell>
          <cell r="B154" t="str">
            <v>Bolton Hill, Baltimore, MD</v>
          </cell>
          <cell r="C154">
            <v>0.17680000000000001</v>
          </cell>
        </row>
        <row r="155">
          <cell r="A155">
            <v>24005421102</v>
          </cell>
          <cell r="B155" t="str">
            <v>Dundalk, MD</v>
          </cell>
          <cell r="C155">
            <v>0.17599999999999999</v>
          </cell>
        </row>
        <row r="156">
          <cell r="A156">
            <v>24510120700</v>
          </cell>
          <cell r="B156" t="str">
            <v>Remington, Baltimore, MD</v>
          </cell>
          <cell r="C156">
            <v>0.1734</v>
          </cell>
        </row>
        <row r="157">
          <cell r="A157">
            <v>24005490800</v>
          </cell>
          <cell r="B157" t="str">
            <v>Towson, MD</v>
          </cell>
          <cell r="C157">
            <v>0.1729</v>
          </cell>
        </row>
        <row r="158">
          <cell r="A158">
            <v>24510090600</v>
          </cell>
          <cell r="B158" t="str">
            <v>Coldstream - Homestead - Montebello, Baltimore, MD</v>
          </cell>
          <cell r="C158">
            <v>0.17219999999999999</v>
          </cell>
        </row>
        <row r="159">
          <cell r="A159">
            <v>24005430900</v>
          </cell>
          <cell r="B159" t="str">
            <v>Baltimore, MD</v>
          </cell>
          <cell r="C159">
            <v>0.1678</v>
          </cell>
        </row>
        <row r="160">
          <cell r="A160">
            <v>24005450504</v>
          </cell>
          <cell r="B160" t="str">
            <v>Essex, MD</v>
          </cell>
          <cell r="C160">
            <v>0.16270000000000001</v>
          </cell>
        </row>
        <row r="161">
          <cell r="A161">
            <v>24510150400</v>
          </cell>
          <cell r="B161" t="str">
            <v>Mondawmin, Baltimore, MD</v>
          </cell>
          <cell r="C161">
            <v>0.16209999999999999</v>
          </cell>
        </row>
        <row r="162">
          <cell r="A162">
            <v>24510250205</v>
          </cell>
          <cell r="B162" t="str">
            <v>Lakeland, Baltimore, MD</v>
          </cell>
          <cell r="C162">
            <v>0.16159999999999999</v>
          </cell>
        </row>
        <row r="163">
          <cell r="A163">
            <v>24510090500</v>
          </cell>
          <cell r="B163" t="str">
            <v>Better Waverly, Baltimore, MD</v>
          </cell>
          <cell r="C163">
            <v>0.16020000000000001</v>
          </cell>
        </row>
        <row r="164">
          <cell r="A164">
            <v>24510270802</v>
          </cell>
          <cell r="B164" t="str">
            <v>Ramblewood, Baltimore, MD</v>
          </cell>
          <cell r="C164">
            <v>0.15909999999999999</v>
          </cell>
        </row>
        <row r="165">
          <cell r="A165">
            <v>24005451402</v>
          </cell>
          <cell r="B165" t="str">
            <v>Middle River, MD</v>
          </cell>
          <cell r="C165">
            <v>0.1588</v>
          </cell>
        </row>
        <row r="166">
          <cell r="A166">
            <v>24003750201</v>
          </cell>
          <cell r="B166" t="str">
            <v>Brooklyn, Baltimore, MD</v>
          </cell>
          <cell r="C166">
            <v>0.158</v>
          </cell>
        </row>
        <row r="167">
          <cell r="A167">
            <v>24510151100</v>
          </cell>
          <cell r="B167" t="str">
            <v>East Arlington, Baltimore, MD</v>
          </cell>
          <cell r="C167">
            <v>0.15690000000000001</v>
          </cell>
        </row>
        <row r="168">
          <cell r="A168">
            <v>24005402307</v>
          </cell>
          <cell r="B168" t="str">
            <v>Pikesville, MD</v>
          </cell>
          <cell r="C168">
            <v>0.15629999999999999</v>
          </cell>
        </row>
        <row r="169">
          <cell r="A169">
            <v>24510130804</v>
          </cell>
          <cell r="B169" t="str">
            <v>Hampden, Baltimore, MD</v>
          </cell>
          <cell r="C169">
            <v>0.15590000000000001</v>
          </cell>
        </row>
        <row r="170">
          <cell r="A170">
            <v>24005451401</v>
          </cell>
          <cell r="B170" t="str">
            <v>Middle River, MD</v>
          </cell>
          <cell r="C170">
            <v>0.1537</v>
          </cell>
        </row>
        <row r="171">
          <cell r="A171">
            <v>24005420702</v>
          </cell>
          <cell r="B171" t="str">
            <v>Dundalk, MD</v>
          </cell>
          <cell r="C171">
            <v>0.15240000000000001</v>
          </cell>
        </row>
        <row r="172">
          <cell r="A172">
            <v>24005420800</v>
          </cell>
          <cell r="B172" t="str">
            <v>Dundalk, MD</v>
          </cell>
          <cell r="C172">
            <v>0.15210000000000001</v>
          </cell>
        </row>
        <row r="173">
          <cell r="A173">
            <v>24510020200</v>
          </cell>
          <cell r="B173" t="str">
            <v>Upper Fells Point, Baltimore, MD</v>
          </cell>
          <cell r="C173">
            <v>0.15179999999999999</v>
          </cell>
        </row>
        <row r="174">
          <cell r="A174">
            <v>24005402407</v>
          </cell>
          <cell r="B174" t="str">
            <v>Windsor Mill, Milford Mill, MD</v>
          </cell>
          <cell r="C174">
            <v>0.15160000000000001</v>
          </cell>
        </row>
        <row r="175">
          <cell r="A175">
            <v>24005401102</v>
          </cell>
          <cell r="B175" t="str">
            <v>Gwynn Oak, Woodlawn, MD</v>
          </cell>
          <cell r="C175">
            <v>0.15</v>
          </cell>
        </row>
        <row r="176">
          <cell r="A176">
            <v>24005420401</v>
          </cell>
          <cell r="B176" t="str">
            <v>Dundalk, MD</v>
          </cell>
          <cell r="C176">
            <v>0.15</v>
          </cell>
        </row>
        <row r="177">
          <cell r="A177">
            <v>24005402503</v>
          </cell>
          <cell r="B177" t="str">
            <v>Randallstown, MD</v>
          </cell>
          <cell r="C177">
            <v>0.1489</v>
          </cell>
        </row>
        <row r="178">
          <cell r="A178">
            <v>24005402305</v>
          </cell>
          <cell r="B178" t="str">
            <v>Lochearn, Pikesville, MD</v>
          </cell>
          <cell r="C178">
            <v>0.1482</v>
          </cell>
        </row>
        <row r="179">
          <cell r="A179">
            <v>24510270401</v>
          </cell>
          <cell r="B179" t="str">
            <v>Glenham-Belford, Baltimore, MD</v>
          </cell>
          <cell r="C179">
            <v>0.14779999999999999</v>
          </cell>
        </row>
        <row r="180">
          <cell r="A180">
            <v>24005402602</v>
          </cell>
          <cell r="B180" t="str">
            <v>Randallstown, MD</v>
          </cell>
          <cell r="C180">
            <v>0.1477</v>
          </cell>
        </row>
        <row r="181">
          <cell r="A181">
            <v>24005430400</v>
          </cell>
          <cell r="B181" t="str">
            <v>Halethorpe, MD</v>
          </cell>
          <cell r="C181">
            <v>0.14710000000000001</v>
          </cell>
        </row>
        <row r="182">
          <cell r="A182">
            <v>24510080101</v>
          </cell>
          <cell r="B182" t="str">
            <v>Belair - Edison, Baltimore, MD</v>
          </cell>
          <cell r="C182">
            <v>0.1469</v>
          </cell>
        </row>
        <row r="183">
          <cell r="A183">
            <v>24005491402</v>
          </cell>
          <cell r="B183" t="str">
            <v>Parkville, MD</v>
          </cell>
          <cell r="C183">
            <v>0.1431</v>
          </cell>
        </row>
        <row r="184">
          <cell r="A184">
            <v>24510250102</v>
          </cell>
          <cell r="B184" t="str">
            <v>Yale Heights, Baltimore, MD</v>
          </cell>
          <cell r="C184">
            <v>0.14280000000000001</v>
          </cell>
        </row>
        <row r="185">
          <cell r="A185">
            <v>24005491401</v>
          </cell>
          <cell r="B185" t="str">
            <v>Parkville, MD</v>
          </cell>
          <cell r="C185">
            <v>0.14180000000000001</v>
          </cell>
        </row>
        <row r="186">
          <cell r="A186">
            <v>24510270803</v>
          </cell>
          <cell r="B186" t="str">
            <v>Loch Raven, Baltimore, MD</v>
          </cell>
          <cell r="C186">
            <v>0.14099999999999999</v>
          </cell>
        </row>
        <row r="187">
          <cell r="A187">
            <v>24005441102</v>
          </cell>
          <cell r="B187" t="str">
            <v>Rosedale, MD</v>
          </cell>
          <cell r="C187">
            <v>0.14000000000000001</v>
          </cell>
        </row>
        <row r="188">
          <cell r="A188">
            <v>24005402404</v>
          </cell>
          <cell r="B188" t="str">
            <v>Gwynn Oak, Lochearn, MD</v>
          </cell>
          <cell r="C188">
            <v>0.13969999999999999</v>
          </cell>
        </row>
        <row r="189">
          <cell r="A189">
            <v>24005490602</v>
          </cell>
          <cell r="B189" t="str">
            <v>Baltimore, MD</v>
          </cell>
          <cell r="C189">
            <v>0.13950000000000001</v>
          </cell>
        </row>
        <row r="190">
          <cell r="A190">
            <v>24005401507</v>
          </cell>
          <cell r="B190" t="str">
            <v>Windsor Mill, Baltimore, MD</v>
          </cell>
          <cell r="C190">
            <v>0.1386</v>
          </cell>
        </row>
        <row r="191">
          <cell r="A191">
            <v>24005440300</v>
          </cell>
          <cell r="B191" t="str">
            <v>Nottingham, MD</v>
          </cell>
          <cell r="C191">
            <v>0.1384</v>
          </cell>
        </row>
        <row r="192">
          <cell r="A192">
            <v>24005450501</v>
          </cell>
          <cell r="B192" t="str">
            <v>Essex, MD</v>
          </cell>
          <cell r="C192">
            <v>0.1381</v>
          </cell>
        </row>
        <row r="193">
          <cell r="A193">
            <v>24005450300</v>
          </cell>
          <cell r="B193" t="str">
            <v>Essex, MD</v>
          </cell>
          <cell r="C193">
            <v>0.13800000000000001</v>
          </cell>
        </row>
        <row r="194">
          <cell r="A194">
            <v>24510130805</v>
          </cell>
          <cell r="B194" t="str">
            <v>Cold Springs, Baltimore, MD</v>
          </cell>
          <cell r="C194">
            <v>0.13769999999999999</v>
          </cell>
        </row>
        <row r="195">
          <cell r="A195">
            <v>24005421101</v>
          </cell>
          <cell r="B195" t="str">
            <v>Baltimore, MD</v>
          </cell>
          <cell r="C195">
            <v>0.1376</v>
          </cell>
        </row>
        <row r="196">
          <cell r="A196">
            <v>24005400200</v>
          </cell>
          <cell r="B196" t="str">
            <v>Catonsville, MD</v>
          </cell>
          <cell r="C196">
            <v>0.13650000000000001</v>
          </cell>
        </row>
        <row r="197">
          <cell r="A197">
            <v>24005421200</v>
          </cell>
          <cell r="B197" t="str">
            <v>Dundalk, MD</v>
          </cell>
          <cell r="C197">
            <v>0.13500000000000001</v>
          </cell>
        </row>
        <row r="198">
          <cell r="A198">
            <v>24510270502</v>
          </cell>
          <cell r="B198" t="str">
            <v>North Harford Road, Baltimore, MD</v>
          </cell>
          <cell r="C198">
            <v>0.1341</v>
          </cell>
        </row>
        <row r="199">
          <cell r="A199">
            <v>24510270600</v>
          </cell>
          <cell r="B199" t="str">
            <v>Harford - Echodale - Perring Parkway, Baltimore, MD</v>
          </cell>
          <cell r="C199">
            <v>0.13250000000000001</v>
          </cell>
        </row>
        <row r="200">
          <cell r="A200">
            <v>24005452100</v>
          </cell>
          <cell r="B200" t="str">
            <v>Sparrows Point, MD</v>
          </cell>
          <cell r="C200">
            <v>0.13159999999999999</v>
          </cell>
        </row>
        <row r="201">
          <cell r="A201">
            <v>24005450400</v>
          </cell>
          <cell r="B201" t="str">
            <v>Essex, MD</v>
          </cell>
          <cell r="C201">
            <v>0.12909999999999999</v>
          </cell>
        </row>
        <row r="202">
          <cell r="A202">
            <v>24510160802</v>
          </cell>
          <cell r="B202" t="str">
            <v>Edmondson, Baltimore, MD</v>
          </cell>
          <cell r="C202">
            <v>0.12809999999999999</v>
          </cell>
        </row>
        <row r="203">
          <cell r="A203">
            <v>24003750803</v>
          </cell>
          <cell r="B203" t="str">
            <v>Glen Burnie, MD</v>
          </cell>
          <cell r="C203">
            <v>0.128</v>
          </cell>
        </row>
        <row r="204">
          <cell r="A204">
            <v>24005402604</v>
          </cell>
          <cell r="B204" t="str">
            <v>Randallstown, MD</v>
          </cell>
          <cell r="C204">
            <v>0.12790000000000001</v>
          </cell>
        </row>
        <row r="205">
          <cell r="A205">
            <v>24510270702</v>
          </cell>
          <cell r="B205" t="str">
            <v>Harford - Echodale - Perring Parkway, Baltimore, MD</v>
          </cell>
          <cell r="C205">
            <v>0.1278</v>
          </cell>
        </row>
        <row r="206">
          <cell r="A206">
            <v>24005402306</v>
          </cell>
          <cell r="B206" t="str">
            <v>Windsor Mill, Baltimore, MD</v>
          </cell>
          <cell r="C206">
            <v>0.12620000000000001</v>
          </cell>
        </row>
        <row r="207">
          <cell r="A207">
            <v>24005420302</v>
          </cell>
          <cell r="B207" t="str">
            <v>Dundalk, MD</v>
          </cell>
          <cell r="C207">
            <v>0.12540000000000001</v>
          </cell>
        </row>
        <row r="208">
          <cell r="A208">
            <v>24003750300</v>
          </cell>
          <cell r="B208" t="str">
            <v>Linthicum Heights, MD</v>
          </cell>
          <cell r="C208">
            <v>0.124</v>
          </cell>
        </row>
        <row r="209">
          <cell r="A209">
            <v>24510270302</v>
          </cell>
          <cell r="B209" t="str">
            <v>Waltherson, Baltimore, MD</v>
          </cell>
          <cell r="C209">
            <v>0.12180000000000001</v>
          </cell>
        </row>
        <row r="210">
          <cell r="A210">
            <v>24510280401</v>
          </cell>
          <cell r="B210" t="str">
            <v>Baltimore, MD</v>
          </cell>
          <cell r="C210">
            <v>0.121</v>
          </cell>
        </row>
        <row r="211">
          <cell r="A211">
            <v>24003750202</v>
          </cell>
          <cell r="B211" t="str">
            <v>Brooklyn Park, MD</v>
          </cell>
          <cell r="C211">
            <v>0.1193</v>
          </cell>
        </row>
        <row r="212">
          <cell r="A212">
            <v>24003750804</v>
          </cell>
          <cell r="B212" t="str">
            <v>Glen Burnie, MD</v>
          </cell>
          <cell r="C212">
            <v>0.11840000000000001</v>
          </cell>
        </row>
        <row r="213">
          <cell r="A213">
            <v>24005400900</v>
          </cell>
          <cell r="B213" t="str">
            <v>Catonsville, MD</v>
          </cell>
          <cell r="C213">
            <v>0.1183</v>
          </cell>
        </row>
        <row r="214">
          <cell r="A214">
            <v>24027601107</v>
          </cell>
          <cell r="B214" t="str">
            <v>Waterloo, Elkridge, MD</v>
          </cell>
          <cell r="C214">
            <v>0.1164</v>
          </cell>
        </row>
        <row r="215">
          <cell r="A215">
            <v>24005401101</v>
          </cell>
          <cell r="B215" t="str">
            <v>Woodlawn, MD</v>
          </cell>
          <cell r="C215">
            <v>0.1162</v>
          </cell>
        </row>
        <row r="216">
          <cell r="A216">
            <v>24005403702</v>
          </cell>
          <cell r="B216" t="str">
            <v>Pikesville, MD</v>
          </cell>
          <cell r="C216">
            <v>0.11600000000000001</v>
          </cell>
        </row>
        <row r="217">
          <cell r="A217">
            <v>24005430200</v>
          </cell>
          <cell r="B217" t="str">
            <v>Lansdowne - Baltimore Highlands, Lansdowne, MD</v>
          </cell>
          <cell r="C217">
            <v>0.11600000000000001</v>
          </cell>
        </row>
        <row r="218">
          <cell r="A218">
            <v>24510130806</v>
          </cell>
          <cell r="B218" t="str">
            <v>Woodberry, Baltimore, MD</v>
          </cell>
          <cell r="C218">
            <v>0.1159</v>
          </cell>
        </row>
        <row r="219">
          <cell r="A219">
            <v>24025301401</v>
          </cell>
          <cell r="B219" t="str">
            <v>Harford County, MD</v>
          </cell>
          <cell r="C219">
            <v>0.11550000000000001</v>
          </cell>
        </row>
        <row r="220">
          <cell r="A220">
            <v>24005491202</v>
          </cell>
          <cell r="B220" t="str">
            <v>Towson, MD</v>
          </cell>
          <cell r="C220">
            <v>0.1153</v>
          </cell>
        </row>
        <row r="221">
          <cell r="A221">
            <v>24510260102</v>
          </cell>
          <cell r="B221" t="str">
            <v>Frankford, Baltimore, MD</v>
          </cell>
          <cell r="C221">
            <v>0.1152</v>
          </cell>
        </row>
        <row r="222">
          <cell r="A222">
            <v>24005401505</v>
          </cell>
          <cell r="B222" t="str">
            <v>Catonsville, MD</v>
          </cell>
          <cell r="C222">
            <v>0.11459999999999999</v>
          </cell>
        </row>
        <row r="223">
          <cell r="A223">
            <v>24005451100</v>
          </cell>
          <cell r="B223" t="str">
            <v>Essex, MD</v>
          </cell>
          <cell r="C223">
            <v>0.1142</v>
          </cell>
        </row>
        <row r="224">
          <cell r="A224">
            <v>24510270805</v>
          </cell>
          <cell r="B224" t="str">
            <v>Mid-Govans, Baltimore, MD</v>
          </cell>
          <cell r="C224">
            <v>0.11260000000000001</v>
          </cell>
        </row>
        <row r="225">
          <cell r="A225">
            <v>24510270301</v>
          </cell>
          <cell r="B225" t="str">
            <v>Lauraville, Baltimore, MD</v>
          </cell>
          <cell r="C225">
            <v>0.11260000000000001</v>
          </cell>
        </row>
        <row r="226">
          <cell r="A226">
            <v>24510260501</v>
          </cell>
          <cell r="B226" t="str">
            <v>Joseph Lee, Baltimore, MD</v>
          </cell>
          <cell r="C226">
            <v>0.11219999999999999</v>
          </cell>
        </row>
        <row r="227">
          <cell r="A227">
            <v>24510090200</v>
          </cell>
          <cell r="B227" t="str">
            <v>Ednor Gardens - Lakeside, Baltimore, MD</v>
          </cell>
          <cell r="C227">
            <v>0.1113</v>
          </cell>
        </row>
        <row r="228">
          <cell r="A228">
            <v>24510220100</v>
          </cell>
          <cell r="B228" t="str">
            <v>Baltimore, MD</v>
          </cell>
          <cell r="C228">
            <v>0.1106</v>
          </cell>
        </row>
        <row r="229">
          <cell r="A229">
            <v>24005440200</v>
          </cell>
          <cell r="B229" t="str">
            <v>Nottingham, MD</v>
          </cell>
          <cell r="C229">
            <v>0.1103</v>
          </cell>
        </row>
        <row r="230">
          <cell r="A230">
            <v>24005403701</v>
          </cell>
          <cell r="B230" t="str">
            <v>Owings Mills, MD</v>
          </cell>
          <cell r="C230">
            <v>0.107</v>
          </cell>
        </row>
        <row r="231">
          <cell r="A231">
            <v>24510010200</v>
          </cell>
          <cell r="B231" t="str">
            <v>Patterson Park, Baltimore, MD</v>
          </cell>
          <cell r="C231">
            <v>0.1062</v>
          </cell>
        </row>
        <row r="232">
          <cell r="A232">
            <v>24510270901</v>
          </cell>
          <cell r="B232" t="str">
            <v>New Northwood, Baltimore, MD</v>
          </cell>
          <cell r="C232">
            <v>0.1056</v>
          </cell>
        </row>
        <row r="233">
          <cell r="A233">
            <v>24510010100</v>
          </cell>
          <cell r="B233" t="str">
            <v>Canton, Baltimore, MD</v>
          </cell>
          <cell r="C233">
            <v>0.1047</v>
          </cell>
        </row>
        <row r="234">
          <cell r="A234">
            <v>24510130600</v>
          </cell>
          <cell r="B234" t="str">
            <v>Hampden, Baltimore, MD</v>
          </cell>
          <cell r="C234">
            <v>0.1043</v>
          </cell>
        </row>
        <row r="235">
          <cell r="A235">
            <v>24510261100</v>
          </cell>
          <cell r="B235" t="str">
            <v>Canton, Baltimore, MD</v>
          </cell>
          <cell r="C235">
            <v>0.104</v>
          </cell>
        </row>
        <row r="236">
          <cell r="A236">
            <v>24005400600</v>
          </cell>
          <cell r="B236" t="str">
            <v>Catonsville, MD</v>
          </cell>
          <cell r="C236">
            <v>0.1036</v>
          </cell>
        </row>
        <row r="237">
          <cell r="A237">
            <v>24005430104</v>
          </cell>
          <cell r="B237" t="str">
            <v>Lansdowne - Baltimore Highlands, Halethorpe, MD</v>
          </cell>
          <cell r="C237">
            <v>0.1027</v>
          </cell>
        </row>
        <row r="238">
          <cell r="A238">
            <v>24005402303</v>
          </cell>
          <cell r="B238" t="str">
            <v>Windsor Mill, Baltimore, MD</v>
          </cell>
          <cell r="C238">
            <v>0.1026</v>
          </cell>
        </row>
        <row r="239">
          <cell r="A239">
            <v>24005402403</v>
          </cell>
          <cell r="B239" t="str">
            <v>Gwynn Oak, Baltimore, MD</v>
          </cell>
          <cell r="C239">
            <v>0.10249999999999999</v>
          </cell>
        </row>
        <row r="240">
          <cell r="A240">
            <v>24005492300</v>
          </cell>
          <cell r="B240" t="str">
            <v>Essex, MD</v>
          </cell>
          <cell r="C240">
            <v>0.1024</v>
          </cell>
        </row>
        <row r="241">
          <cell r="A241">
            <v>24005402406</v>
          </cell>
          <cell r="B241" t="str">
            <v>Windsor Mill, Milford Mill, MD</v>
          </cell>
          <cell r="C241">
            <v>0.1016</v>
          </cell>
        </row>
        <row r="242">
          <cell r="A242">
            <v>24510272004</v>
          </cell>
          <cell r="B242" t="str">
            <v>Cheswolde, Baltimore, MD</v>
          </cell>
          <cell r="C242">
            <v>0.10150000000000001</v>
          </cell>
        </row>
        <row r="243">
          <cell r="A243">
            <v>24005450100</v>
          </cell>
          <cell r="B243" t="str">
            <v>Rosedale, MD</v>
          </cell>
          <cell r="C243">
            <v>0.1014</v>
          </cell>
        </row>
        <row r="244">
          <cell r="A244">
            <v>24005440701</v>
          </cell>
          <cell r="B244" t="str">
            <v>Rosedale, MD</v>
          </cell>
          <cell r="C244">
            <v>0.1013</v>
          </cell>
        </row>
        <row r="245">
          <cell r="A245">
            <v>24005420701</v>
          </cell>
          <cell r="B245" t="str">
            <v>Dundalk, MD</v>
          </cell>
          <cell r="C245">
            <v>0.1012</v>
          </cell>
        </row>
        <row r="246">
          <cell r="A246">
            <v>24510020100</v>
          </cell>
          <cell r="B246" t="str">
            <v>Upper Fells Point, Baltimore, MD</v>
          </cell>
          <cell r="C246">
            <v>0.1002</v>
          </cell>
        </row>
        <row r="247">
          <cell r="A247">
            <v>24005452500</v>
          </cell>
          <cell r="B247" t="str">
            <v>Dundalk, MD</v>
          </cell>
          <cell r="C247">
            <v>9.9000000000000005E-2</v>
          </cell>
        </row>
        <row r="248">
          <cell r="A248">
            <v>24510270402</v>
          </cell>
          <cell r="B248" t="str">
            <v>Glenham-Belford, Baltimore, MD</v>
          </cell>
          <cell r="C248">
            <v>9.7600000000000006E-2</v>
          </cell>
        </row>
        <row r="249">
          <cell r="A249">
            <v>24510271400</v>
          </cell>
          <cell r="B249" t="str">
            <v>Evergreen, Baltimore, MD</v>
          </cell>
          <cell r="C249">
            <v>9.7500000000000003E-2</v>
          </cell>
        </row>
        <row r="250">
          <cell r="A250">
            <v>24510270200</v>
          </cell>
          <cell r="B250" t="str">
            <v>Lauraville, Baltimore, MD</v>
          </cell>
          <cell r="C250">
            <v>9.7100000000000006E-2</v>
          </cell>
        </row>
        <row r="251">
          <cell r="A251">
            <v>24005402405</v>
          </cell>
          <cell r="B251" t="str">
            <v>Gwynn Oak, Baltimore, MD</v>
          </cell>
          <cell r="C251">
            <v>9.5100000000000004E-2</v>
          </cell>
        </row>
        <row r="252">
          <cell r="A252">
            <v>24005411407</v>
          </cell>
          <cell r="B252" t="str">
            <v>Parkville, MD</v>
          </cell>
          <cell r="C252">
            <v>9.4399999999999998E-2</v>
          </cell>
        </row>
        <row r="253">
          <cell r="A253">
            <v>24003751102</v>
          </cell>
          <cell r="B253" t="str">
            <v>Glen Burnie, MD</v>
          </cell>
          <cell r="C253">
            <v>9.4100000000000003E-2</v>
          </cell>
        </row>
        <row r="254">
          <cell r="A254">
            <v>24510230300</v>
          </cell>
          <cell r="B254" t="str">
            <v>South Baltimore, Baltimore, MD</v>
          </cell>
          <cell r="C254">
            <v>9.35E-2</v>
          </cell>
        </row>
        <row r="255">
          <cell r="A255">
            <v>24005451801</v>
          </cell>
          <cell r="B255" t="str">
            <v>Middle River, MD</v>
          </cell>
          <cell r="C255">
            <v>9.3100000000000002E-2</v>
          </cell>
        </row>
        <row r="256">
          <cell r="A256">
            <v>24005401504</v>
          </cell>
          <cell r="B256" t="str">
            <v>Catonsville, MD</v>
          </cell>
          <cell r="C256">
            <v>9.2499999999999999E-2</v>
          </cell>
        </row>
        <row r="257">
          <cell r="A257">
            <v>24510130803</v>
          </cell>
          <cell r="B257" t="str">
            <v>Medfield, Baltimore, MD</v>
          </cell>
          <cell r="C257">
            <v>9.1200000000000003E-2</v>
          </cell>
        </row>
        <row r="258">
          <cell r="A258">
            <v>24510270902</v>
          </cell>
          <cell r="B258" t="str">
            <v>Perring Loch, Baltimore, MD</v>
          </cell>
          <cell r="C258">
            <v>8.9899999999999994E-2</v>
          </cell>
        </row>
        <row r="259">
          <cell r="A259">
            <v>24005451702</v>
          </cell>
          <cell r="B259" t="str">
            <v>Middle River, MD</v>
          </cell>
          <cell r="C259">
            <v>8.9599999999999999E-2</v>
          </cell>
        </row>
        <row r="260">
          <cell r="A260">
            <v>24005403100</v>
          </cell>
          <cell r="B260" t="str">
            <v>Gwynn Oak, Pikesville, MD</v>
          </cell>
          <cell r="C260">
            <v>8.9499999999999996E-2</v>
          </cell>
        </row>
        <row r="261">
          <cell r="A261">
            <v>24510270102</v>
          </cell>
          <cell r="B261" t="str">
            <v>Waltherson, Baltimore, MD</v>
          </cell>
          <cell r="C261">
            <v>8.9200000000000002E-2</v>
          </cell>
        </row>
        <row r="262">
          <cell r="A262">
            <v>24005492002</v>
          </cell>
          <cell r="B262" t="str">
            <v>Parkville, MD</v>
          </cell>
          <cell r="C262">
            <v>8.8700000000000001E-2</v>
          </cell>
        </row>
        <row r="263">
          <cell r="A263">
            <v>24005451500</v>
          </cell>
          <cell r="B263" t="str">
            <v>Middle River, MD</v>
          </cell>
          <cell r="C263">
            <v>8.8300000000000003E-2</v>
          </cell>
        </row>
        <row r="264">
          <cell r="A264">
            <v>24005420402</v>
          </cell>
          <cell r="B264" t="str">
            <v>Dundalk, MD</v>
          </cell>
          <cell r="C264">
            <v>8.7599999999999997E-2</v>
          </cell>
        </row>
        <row r="265">
          <cell r="A265">
            <v>24005492101</v>
          </cell>
          <cell r="B265" t="str">
            <v>Parkville, MD</v>
          </cell>
          <cell r="C265">
            <v>8.6800000000000002E-2</v>
          </cell>
        </row>
        <row r="266">
          <cell r="A266">
            <v>24510280402</v>
          </cell>
          <cell r="B266" t="str">
            <v>Rognel Heights, Baltimore, MD</v>
          </cell>
          <cell r="C266">
            <v>8.48E-2</v>
          </cell>
        </row>
        <row r="267">
          <cell r="A267">
            <v>24005420500</v>
          </cell>
          <cell r="B267" t="str">
            <v>Baltimore, MD</v>
          </cell>
          <cell r="C267">
            <v>8.3699999999999997E-2</v>
          </cell>
        </row>
        <row r="268">
          <cell r="A268">
            <v>24027602900</v>
          </cell>
          <cell r="B268" t="str">
            <v>Normandy, Ellicott City, MD</v>
          </cell>
          <cell r="C268">
            <v>8.3699999999999997E-2</v>
          </cell>
        </row>
        <row r="269">
          <cell r="A269">
            <v>24005451802</v>
          </cell>
          <cell r="B269" t="str">
            <v>Middle River, MD</v>
          </cell>
          <cell r="C269">
            <v>8.3599999999999994E-2</v>
          </cell>
        </row>
        <row r="270">
          <cell r="A270">
            <v>24005452000</v>
          </cell>
          <cell r="B270" t="str">
            <v>Sparrows Point, MD</v>
          </cell>
          <cell r="C270">
            <v>8.3500000000000005E-2</v>
          </cell>
        </row>
        <row r="271">
          <cell r="A271">
            <v>24005451600</v>
          </cell>
          <cell r="B271" t="str">
            <v>Middle River, MD</v>
          </cell>
          <cell r="C271">
            <v>8.3000000000000004E-2</v>
          </cell>
        </row>
        <row r="272">
          <cell r="A272">
            <v>24003751200</v>
          </cell>
          <cell r="B272" t="str">
            <v>Linthicum Heights, MD</v>
          </cell>
          <cell r="C272">
            <v>8.2100000000000006E-2</v>
          </cell>
        </row>
        <row r="273">
          <cell r="A273">
            <v>24510270703</v>
          </cell>
          <cell r="B273" t="str">
            <v>North Harford Road, Baltimore, MD</v>
          </cell>
          <cell r="C273">
            <v>8.1900000000000001E-2</v>
          </cell>
        </row>
        <row r="274">
          <cell r="A274">
            <v>24005451803</v>
          </cell>
          <cell r="B274" t="str">
            <v>Middle River, MD</v>
          </cell>
          <cell r="C274">
            <v>8.1699999999999995E-2</v>
          </cell>
        </row>
        <row r="275">
          <cell r="A275">
            <v>24005430800</v>
          </cell>
          <cell r="B275" t="str">
            <v>Halethorpe, MD</v>
          </cell>
          <cell r="C275">
            <v>8.0699999999999994E-2</v>
          </cell>
        </row>
        <row r="276">
          <cell r="A276">
            <v>24005452300</v>
          </cell>
          <cell r="B276" t="str">
            <v>Baltimore, MD</v>
          </cell>
          <cell r="C276">
            <v>8.0399999999999999E-2</v>
          </cell>
        </row>
        <row r="277">
          <cell r="A277">
            <v>24510020300</v>
          </cell>
          <cell r="B277" t="str">
            <v>Fells Point, Baltimore, MD</v>
          </cell>
          <cell r="C277">
            <v>8.0199999999999994E-2</v>
          </cell>
        </row>
        <row r="278">
          <cell r="A278">
            <v>24510271501</v>
          </cell>
          <cell r="B278" t="str">
            <v>Mount Washington, Baltimore, MD</v>
          </cell>
          <cell r="C278">
            <v>7.9899999999999999E-2</v>
          </cell>
        </row>
        <row r="279">
          <cell r="A279">
            <v>24510260900</v>
          </cell>
          <cell r="B279" t="str">
            <v>Baltimore, MD</v>
          </cell>
          <cell r="C279">
            <v>7.9699999999999993E-2</v>
          </cell>
        </row>
        <row r="280">
          <cell r="A280">
            <v>24510010500</v>
          </cell>
          <cell r="B280" t="str">
            <v>Upper Fells Point, Baltimore, MD</v>
          </cell>
          <cell r="C280">
            <v>7.8200000000000006E-2</v>
          </cell>
        </row>
        <row r="281">
          <cell r="A281">
            <v>24005451200</v>
          </cell>
          <cell r="B281" t="str">
            <v>Middle River, MD</v>
          </cell>
          <cell r="C281">
            <v>7.7499999999999999E-2</v>
          </cell>
        </row>
        <row r="282">
          <cell r="A282">
            <v>24005401200</v>
          </cell>
          <cell r="B282" t="str">
            <v>Woodlawn, MD</v>
          </cell>
          <cell r="C282">
            <v>7.7499999999999999E-2</v>
          </cell>
        </row>
        <row r="283">
          <cell r="A283">
            <v>24510240300</v>
          </cell>
          <cell r="B283" t="str">
            <v>Riverside, Baltimore, MD</v>
          </cell>
          <cell r="C283">
            <v>7.6700000000000004E-2</v>
          </cell>
        </row>
        <row r="284">
          <cell r="A284">
            <v>24005451701</v>
          </cell>
          <cell r="B284" t="str">
            <v>Middle River, MD</v>
          </cell>
          <cell r="C284">
            <v>7.5999999999999998E-2</v>
          </cell>
        </row>
        <row r="285">
          <cell r="A285">
            <v>24003751103</v>
          </cell>
          <cell r="B285" t="str">
            <v>Glen Burnie, MD</v>
          </cell>
          <cell r="C285">
            <v>7.4700000000000003E-2</v>
          </cell>
        </row>
        <row r="286">
          <cell r="A286">
            <v>24005403602</v>
          </cell>
          <cell r="B286" t="str">
            <v>Baltimore, MD</v>
          </cell>
          <cell r="C286">
            <v>7.2599999999999998E-2</v>
          </cell>
        </row>
        <row r="287">
          <cell r="A287">
            <v>24005403201</v>
          </cell>
          <cell r="B287" t="str">
            <v>Gwynn Oak, Lochearn, MD</v>
          </cell>
          <cell r="C287">
            <v>7.17E-2</v>
          </cell>
        </row>
        <row r="288">
          <cell r="A288">
            <v>24005440900</v>
          </cell>
          <cell r="B288" t="str">
            <v>Rosedale, MD</v>
          </cell>
          <cell r="C288">
            <v>7.0999999999999994E-2</v>
          </cell>
        </row>
        <row r="289">
          <cell r="A289">
            <v>24510230200</v>
          </cell>
          <cell r="B289" t="str">
            <v>South Baltimore, Baltimore, MD</v>
          </cell>
          <cell r="C289">
            <v>7.0300000000000001E-2</v>
          </cell>
        </row>
        <row r="290">
          <cell r="A290">
            <v>24005411408</v>
          </cell>
          <cell r="B290" t="str">
            <v>Nottingham, MD</v>
          </cell>
          <cell r="C290">
            <v>7.0199999999999999E-2</v>
          </cell>
        </row>
        <row r="291">
          <cell r="A291">
            <v>24510280403</v>
          </cell>
          <cell r="B291" t="str">
            <v>Westgate, Baltimore, MD</v>
          </cell>
          <cell r="C291">
            <v>6.9400000000000003E-2</v>
          </cell>
        </row>
        <row r="292">
          <cell r="A292">
            <v>24005491100</v>
          </cell>
          <cell r="B292" t="str">
            <v>Baltimore, MD</v>
          </cell>
          <cell r="C292">
            <v>6.9400000000000003E-2</v>
          </cell>
        </row>
        <row r="293">
          <cell r="A293">
            <v>24510270501</v>
          </cell>
          <cell r="B293" t="str">
            <v>Woodring, Baltimore, MD</v>
          </cell>
          <cell r="C293">
            <v>6.7799999999999999E-2</v>
          </cell>
        </row>
        <row r="294">
          <cell r="A294">
            <v>24005420100</v>
          </cell>
          <cell r="B294" t="str">
            <v>Dundalk, MD</v>
          </cell>
          <cell r="C294">
            <v>6.7699999999999996E-2</v>
          </cell>
        </row>
        <row r="295">
          <cell r="A295">
            <v>24005403401</v>
          </cell>
          <cell r="B295" t="str">
            <v>Pikesville, MD</v>
          </cell>
          <cell r="C295">
            <v>6.6900000000000001E-2</v>
          </cell>
        </row>
        <row r="296">
          <cell r="A296">
            <v>24005440100</v>
          </cell>
          <cell r="B296" t="str">
            <v>Baltimore, MD</v>
          </cell>
          <cell r="C296">
            <v>6.6199999999999995E-2</v>
          </cell>
        </row>
        <row r="297">
          <cell r="A297">
            <v>24005400800</v>
          </cell>
          <cell r="B297" t="str">
            <v>Catonsville, MD</v>
          </cell>
          <cell r="C297">
            <v>6.6100000000000006E-2</v>
          </cell>
        </row>
        <row r="298">
          <cell r="A298">
            <v>24027601201</v>
          </cell>
          <cell r="B298" t="str">
            <v>Elkridge, MD</v>
          </cell>
          <cell r="C298">
            <v>6.5699999999999995E-2</v>
          </cell>
        </row>
        <row r="299">
          <cell r="A299">
            <v>24005400100</v>
          </cell>
          <cell r="B299" t="str">
            <v>Catonsville, MD</v>
          </cell>
          <cell r="C299">
            <v>6.54E-2</v>
          </cell>
        </row>
        <row r="300">
          <cell r="A300">
            <v>24005401302</v>
          </cell>
          <cell r="B300" t="str">
            <v>Gwynn Oak, Baltimore, MD</v>
          </cell>
          <cell r="C300">
            <v>6.5100000000000005E-2</v>
          </cell>
        </row>
        <row r="301">
          <cell r="A301">
            <v>24005440800</v>
          </cell>
          <cell r="B301" t="str">
            <v>Rosedale, MD</v>
          </cell>
          <cell r="C301">
            <v>6.4699999999999994E-2</v>
          </cell>
        </row>
        <row r="302">
          <cell r="A302">
            <v>24005441101</v>
          </cell>
          <cell r="B302" t="str">
            <v>Rosedale, MD</v>
          </cell>
          <cell r="C302">
            <v>6.4299999999999996E-2</v>
          </cell>
        </row>
        <row r="303">
          <cell r="A303">
            <v>24510271300</v>
          </cell>
          <cell r="B303" t="str">
            <v>Roland Park, Baltimore, MD</v>
          </cell>
          <cell r="C303">
            <v>6.2700000000000006E-2</v>
          </cell>
        </row>
        <row r="304">
          <cell r="A304">
            <v>24005420200</v>
          </cell>
          <cell r="B304" t="str">
            <v>Dundalk, MD</v>
          </cell>
          <cell r="C304">
            <v>6.2399999999999997E-2</v>
          </cell>
        </row>
        <row r="305">
          <cell r="A305">
            <v>24510271200</v>
          </cell>
          <cell r="B305" t="str">
            <v>Homeland, Baltimore, MD</v>
          </cell>
          <cell r="C305">
            <v>6.2100000000000002E-2</v>
          </cell>
        </row>
        <row r="306">
          <cell r="A306">
            <v>24005411306</v>
          </cell>
          <cell r="B306" t="str">
            <v>Nottingham, MD</v>
          </cell>
          <cell r="C306">
            <v>6.13E-2</v>
          </cell>
        </row>
        <row r="307">
          <cell r="A307">
            <v>24005430600</v>
          </cell>
          <cell r="B307" t="str">
            <v>Relay, Halethorpe, MD</v>
          </cell>
          <cell r="C307">
            <v>6.1100000000000002E-2</v>
          </cell>
        </row>
        <row r="308">
          <cell r="A308">
            <v>24027602800</v>
          </cell>
          <cell r="B308" t="str">
            <v>Ellicott City, MD</v>
          </cell>
          <cell r="C308">
            <v>6.0999999999999999E-2</v>
          </cell>
        </row>
        <row r="309">
          <cell r="A309">
            <v>24510010300</v>
          </cell>
          <cell r="B309" t="str">
            <v>Canton, Baltimore, MD</v>
          </cell>
          <cell r="C309">
            <v>6.0100000000000001E-2</v>
          </cell>
        </row>
        <row r="310">
          <cell r="A310">
            <v>24005490603</v>
          </cell>
          <cell r="B310" t="str">
            <v>Baltimore, MD</v>
          </cell>
          <cell r="C310">
            <v>5.96E-2</v>
          </cell>
        </row>
        <row r="311">
          <cell r="A311">
            <v>24510130700</v>
          </cell>
          <cell r="B311" t="str">
            <v>Hampden, Baltimore, MD</v>
          </cell>
          <cell r="C311">
            <v>5.9299999999999999E-2</v>
          </cell>
        </row>
        <row r="312">
          <cell r="A312">
            <v>24005441000</v>
          </cell>
          <cell r="B312" t="str">
            <v>Baltimore, MD</v>
          </cell>
          <cell r="C312">
            <v>5.6899999999999999E-2</v>
          </cell>
        </row>
        <row r="313">
          <cell r="A313">
            <v>24005451000</v>
          </cell>
          <cell r="B313" t="str">
            <v>Essex, MD</v>
          </cell>
          <cell r="C313">
            <v>5.6599999999999998E-2</v>
          </cell>
        </row>
        <row r="314">
          <cell r="A314">
            <v>24005430700</v>
          </cell>
          <cell r="B314" t="str">
            <v>Halethorpe, MD</v>
          </cell>
          <cell r="C314">
            <v>5.6399999999999999E-2</v>
          </cell>
        </row>
        <row r="315">
          <cell r="A315">
            <v>24005403202</v>
          </cell>
          <cell r="B315" t="str">
            <v>Gwynn Oak, Baltimore, MD</v>
          </cell>
          <cell r="C315">
            <v>5.5500000000000001E-2</v>
          </cell>
        </row>
        <row r="316">
          <cell r="A316">
            <v>24005411307</v>
          </cell>
          <cell r="B316" t="str">
            <v>Nottingham, MD</v>
          </cell>
          <cell r="C316">
            <v>5.5E-2</v>
          </cell>
        </row>
        <row r="317">
          <cell r="A317">
            <v>24005492001</v>
          </cell>
          <cell r="B317" t="str">
            <v>Parkville, MD</v>
          </cell>
          <cell r="C317">
            <v>5.4899999999999997E-2</v>
          </cell>
        </row>
        <row r="318">
          <cell r="A318">
            <v>24005402302</v>
          </cell>
          <cell r="B318" t="str">
            <v>Windsor Mill, Milford Mill, MD</v>
          </cell>
          <cell r="C318">
            <v>5.4300000000000001E-2</v>
          </cell>
        </row>
        <row r="319">
          <cell r="A319">
            <v>24005440500</v>
          </cell>
          <cell r="B319" t="str">
            <v>Nottingham, MD</v>
          </cell>
          <cell r="C319">
            <v>5.2400000000000002E-2</v>
          </cell>
        </row>
        <row r="320">
          <cell r="A320">
            <v>24027602600</v>
          </cell>
          <cell r="B320" t="str">
            <v>Ellicott City, MD</v>
          </cell>
          <cell r="C320">
            <v>5.21E-2</v>
          </cell>
        </row>
        <row r="321">
          <cell r="A321">
            <v>24005400400</v>
          </cell>
          <cell r="B321" t="str">
            <v>Catonsville, MD</v>
          </cell>
          <cell r="C321">
            <v>5.1900000000000002E-2</v>
          </cell>
        </row>
        <row r="322">
          <cell r="A322">
            <v>24510272003</v>
          </cell>
          <cell r="B322" t="str">
            <v>Baltimore, MD</v>
          </cell>
          <cell r="C322">
            <v>5.1499999999999997E-2</v>
          </cell>
        </row>
        <row r="323">
          <cell r="A323">
            <v>24005402304</v>
          </cell>
          <cell r="B323" t="str">
            <v>Gwynn Oak, Baltimore, MD</v>
          </cell>
          <cell r="C323">
            <v>4.9099999999999998E-2</v>
          </cell>
        </row>
        <row r="324">
          <cell r="A324">
            <v>24510240100</v>
          </cell>
          <cell r="B324" t="str">
            <v>Locust Point, Baltimore, MD</v>
          </cell>
          <cell r="C324">
            <v>4.87E-2</v>
          </cell>
        </row>
        <row r="325">
          <cell r="A325">
            <v>24005401301</v>
          </cell>
          <cell r="B325" t="str">
            <v>Woodlawn, MD</v>
          </cell>
          <cell r="C325">
            <v>4.8300000000000003E-2</v>
          </cell>
        </row>
        <row r="326">
          <cell r="A326">
            <v>24005401000</v>
          </cell>
          <cell r="B326" t="str">
            <v>Catonsville, MD</v>
          </cell>
          <cell r="C326">
            <v>4.6800000000000001E-2</v>
          </cell>
        </row>
        <row r="327">
          <cell r="A327">
            <v>24005452400</v>
          </cell>
          <cell r="B327" t="str">
            <v>Dundalk, MD</v>
          </cell>
          <cell r="C327">
            <v>4.5900000000000003E-2</v>
          </cell>
        </row>
        <row r="328">
          <cell r="A328">
            <v>24510271503</v>
          </cell>
          <cell r="B328" t="str">
            <v>Cross Keys, Baltimore, MD</v>
          </cell>
          <cell r="C328">
            <v>4.5600000000000002E-2</v>
          </cell>
        </row>
        <row r="329">
          <cell r="A329">
            <v>24510010400</v>
          </cell>
          <cell r="B329" t="str">
            <v>Canton, Baltimore, MD</v>
          </cell>
          <cell r="C329">
            <v>4.3499999999999997E-2</v>
          </cell>
        </row>
        <row r="330">
          <cell r="A330">
            <v>24005411302</v>
          </cell>
          <cell r="B330" t="str">
            <v>White Marsh, MD</v>
          </cell>
          <cell r="C330">
            <v>4.2900000000000001E-2</v>
          </cell>
        </row>
        <row r="331">
          <cell r="A331">
            <v>24027601203</v>
          </cell>
          <cell r="B331" t="str">
            <v>Elkridge, MD</v>
          </cell>
          <cell r="C331">
            <v>4.2299999999999997E-2</v>
          </cell>
        </row>
        <row r="332">
          <cell r="A332">
            <v>24005450200</v>
          </cell>
          <cell r="B332" t="str">
            <v>Essex, MD</v>
          </cell>
          <cell r="C332">
            <v>4.2299999999999997E-2</v>
          </cell>
        </row>
        <row r="333">
          <cell r="A333">
            <v>24005402506</v>
          </cell>
          <cell r="B333" t="str">
            <v>Randallstown, MD</v>
          </cell>
          <cell r="C333">
            <v>4.1599999999999998E-2</v>
          </cell>
        </row>
        <row r="334">
          <cell r="A334">
            <v>24025306500</v>
          </cell>
          <cell r="B334" t="str">
            <v>Aberdeen Proving Ground, MD</v>
          </cell>
          <cell r="C334">
            <v>4.0099999999999997E-2</v>
          </cell>
        </row>
        <row r="335">
          <cell r="A335">
            <v>24005403300</v>
          </cell>
          <cell r="B335" t="str">
            <v>Lochearn, Pikesville, MD</v>
          </cell>
          <cell r="C335">
            <v>3.9600000000000003E-2</v>
          </cell>
        </row>
        <row r="336">
          <cell r="A336">
            <v>24005440702</v>
          </cell>
          <cell r="B336" t="str">
            <v>Rosedale, MD</v>
          </cell>
          <cell r="C336">
            <v>3.95E-2</v>
          </cell>
        </row>
        <row r="337">
          <cell r="A337">
            <v>24005450900</v>
          </cell>
          <cell r="B337" t="str">
            <v>Essex, MD</v>
          </cell>
          <cell r="C337">
            <v>3.7999999999999999E-2</v>
          </cell>
        </row>
        <row r="338">
          <cell r="A338">
            <v>24005403803</v>
          </cell>
          <cell r="B338" t="str">
            <v>Pikesville, MD</v>
          </cell>
          <cell r="C338">
            <v>3.73E-2</v>
          </cell>
        </row>
        <row r="339">
          <cell r="A339">
            <v>24027606706</v>
          </cell>
          <cell r="B339" t="str">
            <v>Kendall Ridge, Columbia, MD</v>
          </cell>
          <cell r="C339">
            <v>3.6200000000000003E-2</v>
          </cell>
        </row>
        <row r="340">
          <cell r="A340">
            <v>24005400701</v>
          </cell>
          <cell r="B340" t="str">
            <v>Catonsville, MD</v>
          </cell>
          <cell r="C340">
            <v>3.61E-2</v>
          </cell>
        </row>
        <row r="341">
          <cell r="A341">
            <v>24003750400</v>
          </cell>
          <cell r="B341" t="str">
            <v>Linthicum Heights, MD</v>
          </cell>
          <cell r="C341">
            <v>3.4599999999999999E-2</v>
          </cell>
        </row>
        <row r="342">
          <cell r="A342">
            <v>24005403601</v>
          </cell>
          <cell r="B342" t="str">
            <v>Baltimore, MD</v>
          </cell>
          <cell r="C342">
            <v>3.44E-2</v>
          </cell>
        </row>
        <row r="343">
          <cell r="A343">
            <v>24005403500</v>
          </cell>
          <cell r="B343" t="str">
            <v>Pikesville, MD</v>
          </cell>
          <cell r="C343">
            <v>3.4200000000000001E-2</v>
          </cell>
        </row>
        <row r="344">
          <cell r="A344">
            <v>24005492102</v>
          </cell>
          <cell r="B344" t="str">
            <v>Parkville, MD</v>
          </cell>
          <cell r="C344">
            <v>3.39E-2</v>
          </cell>
        </row>
        <row r="345">
          <cell r="A345">
            <v>24005490400</v>
          </cell>
          <cell r="B345" t="str">
            <v>Towson, MD</v>
          </cell>
          <cell r="C345">
            <v>3.3700000000000001E-2</v>
          </cell>
        </row>
        <row r="346">
          <cell r="A346">
            <v>24005420303</v>
          </cell>
          <cell r="B346" t="str">
            <v>Dundalk, MD</v>
          </cell>
          <cell r="C346">
            <v>3.3500000000000002E-2</v>
          </cell>
        </row>
        <row r="347">
          <cell r="A347">
            <v>24005402603</v>
          </cell>
          <cell r="B347" t="str">
            <v>Randallstown, MD</v>
          </cell>
          <cell r="C347">
            <v>3.27E-2</v>
          </cell>
        </row>
        <row r="348">
          <cell r="A348">
            <v>24005400702</v>
          </cell>
          <cell r="B348" t="str">
            <v>Baltimore, MD</v>
          </cell>
          <cell r="C348">
            <v>3.2000000000000001E-2</v>
          </cell>
        </row>
        <row r="349">
          <cell r="A349">
            <v>24005451900</v>
          </cell>
          <cell r="B349" t="str">
            <v>Edgemere, MD</v>
          </cell>
          <cell r="C349">
            <v>3.1699999999999999E-2</v>
          </cell>
        </row>
        <row r="350">
          <cell r="A350">
            <v>24005402509</v>
          </cell>
          <cell r="B350" t="str">
            <v>Owings Mills, MD</v>
          </cell>
          <cell r="C350">
            <v>3.0700000000000002E-2</v>
          </cell>
        </row>
        <row r="351">
          <cell r="A351">
            <v>24510240200</v>
          </cell>
          <cell r="B351" t="str">
            <v>Riverside, Baltimore, MD</v>
          </cell>
          <cell r="C351">
            <v>3.0599999999999999E-2</v>
          </cell>
        </row>
        <row r="352">
          <cell r="A352">
            <v>24003750203</v>
          </cell>
          <cell r="B352" t="str">
            <v>Baltimore, MD</v>
          </cell>
          <cell r="C352">
            <v>2.9899999999999999E-2</v>
          </cell>
        </row>
        <row r="353">
          <cell r="A353">
            <v>24510271102</v>
          </cell>
          <cell r="B353" t="str">
            <v>Mid-Charles, Baltimore, MD</v>
          </cell>
          <cell r="C353">
            <v>2.9700000000000001E-2</v>
          </cell>
        </row>
        <row r="354">
          <cell r="A354">
            <v>24003750801</v>
          </cell>
          <cell r="B354" t="str">
            <v>Glen Burnie, MD</v>
          </cell>
          <cell r="C354">
            <v>2.9000000000000001E-2</v>
          </cell>
        </row>
        <row r="355">
          <cell r="A355">
            <v>24027601103</v>
          </cell>
          <cell r="B355" t="str">
            <v>West Elkridge, Elkridge, MD</v>
          </cell>
          <cell r="C355">
            <v>2.8400000000000002E-2</v>
          </cell>
        </row>
        <row r="356">
          <cell r="A356">
            <v>24005400500</v>
          </cell>
          <cell r="B356" t="str">
            <v>Catonsville, MD</v>
          </cell>
          <cell r="C356">
            <v>2.7099999999999999E-2</v>
          </cell>
        </row>
        <row r="357">
          <cell r="A357">
            <v>24027602700</v>
          </cell>
          <cell r="B357" t="str">
            <v>Taylor Village, Ellicott City, MD</v>
          </cell>
          <cell r="C357">
            <v>2.5100000000000001E-2</v>
          </cell>
        </row>
        <row r="358">
          <cell r="A358">
            <v>24005401506</v>
          </cell>
          <cell r="B358" t="str">
            <v>Windsor Mill, Baltimore, MD</v>
          </cell>
          <cell r="C358">
            <v>2.5000000000000001E-2</v>
          </cell>
        </row>
        <row r="359">
          <cell r="A359">
            <v>24005401503</v>
          </cell>
          <cell r="B359" t="str">
            <v>Catonsville, MD</v>
          </cell>
          <cell r="C359">
            <v>2.47E-2</v>
          </cell>
        </row>
        <row r="360">
          <cell r="A360">
            <v>24005440600</v>
          </cell>
          <cell r="B360" t="str">
            <v>Rosedale, MD</v>
          </cell>
          <cell r="C360">
            <v>2.4400000000000002E-2</v>
          </cell>
        </row>
        <row r="361">
          <cell r="A361">
            <v>24003730100</v>
          </cell>
          <cell r="B361" t="str">
            <v>Chestnut Hill Cove, Riviera Beach, MD</v>
          </cell>
          <cell r="C361">
            <v>2.2800000000000001E-2</v>
          </cell>
        </row>
        <row r="362">
          <cell r="A362">
            <v>24005491000</v>
          </cell>
          <cell r="B362" t="str">
            <v>Baltimore, MD</v>
          </cell>
          <cell r="C362">
            <v>2.06E-2</v>
          </cell>
        </row>
        <row r="363">
          <cell r="A363">
            <v>24027601108</v>
          </cell>
          <cell r="B363" t="str">
            <v>Ellicott City, MD</v>
          </cell>
          <cell r="C363">
            <v>1.9800000000000002E-2</v>
          </cell>
        </row>
        <row r="364">
          <cell r="A364">
            <v>24005440400</v>
          </cell>
          <cell r="B364" t="str">
            <v>Baltimore, MD</v>
          </cell>
          <cell r="C364">
            <v>1.7399999999999999E-2</v>
          </cell>
        </row>
        <row r="365">
          <cell r="A365">
            <v>24510240400</v>
          </cell>
          <cell r="B365" t="str">
            <v>Riverside Park, Baltimore, MD</v>
          </cell>
          <cell r="C365">
            <v>1.6799999999999999E-2</v>
          </cell>
        </row>
        <row r="366">
          <cell r="A366">
            <v>24027601104</v>
          </cell>
          <cell r="B366" t="str">
            <v>Ellicott City, MD</v>
          </cell>
          <cell r="C366">
            <v>1.6400000000000001E-2</v>
          </cell>
        </row>
        <row r="367">
          <cell r="A367">
            <v>24005411308</v>
          </cell>
          <cell r="B367" t="str">
            <v>Nottingham, MD</v>
          </cell>
          <cell r="C367">
            <v>1.5299999999999999E-2</v>
          </cell>
        </row>
        <row r="368">
          <cell r="A368">
            <v>24005401400</v>
          </cell>
          <cell r="B368" t="str">
            <v>Catonsville, MD</v>
          </cell>
          <cell r="C368">
            <v>1.46E-2</v>
          </cell>
        </row>
        <row r="369">
          <cell r="A369">
            <v>24027601204</v>
          </cell>
          <cell r="B369" t="str">
            <v>Elkridge, MD</v>
          </cell>
          <cell r="C369">
            <v>1.43E-2</v>
          </cell>
        </row>
        <row r="370">
          <cell r="A370">
            <v>24027601105</v>
          </cell>
          <cell r="B370" t="str">
            <v>Ellicott City, MD</v>
          </cell>
          <cell r="C370">
            <v>1.2800000000000001E-2</v>
          </cell>
        </row>
        <row r="371">
          <cell r="A371">
            <v>24005490601</v>
          </cell>
          <cell r="B371" t="str">
            <v>Baltimore, MD</v>
          </cell>
          <cell r="C371">
            <v>9.7000000000000003E-3</v>
          </cell>
        </row>
        <row r="372">
          <cell r="A372">
            <v>24005402202</v>
          </cell>
          <cell r="B372" t="str">
            <v>Baltimore County, MD</v>
          </cell>
          <cell r="C372">
            <v>9.2999999999999992E-3</v>
          </cell>
        </row>
        <row r="373">
          <cell r="A373">
            <v>24005490500</v>
          </cell>
          <cell r="B373" t="str">
            <v>Towson, MD</v>
          </cell>
          <cell r="C373">
            <v>8.6999999999999994E-3</v>
          </cell>
        </row>
        <row r="374">
          <cell r="A374">
            <v>24027602100</v>
          </cell>
          <cell r="B374" t="str">
            <v>Ellicott City, MD</v>
          </cell>
          <cell r="C374">
            <v>7.3000000000000001E-3</v>
          </cell>
        </row>
        <row r="375">
          <cell r="A375">
            <v>24510250600</v>
          </cell>
          <cell r="B375" t="str">
            <v>Brooklyn, Baltimore, MD</v>
          </cell>
        </row>
        <row r="376">
          <cell r="A376">
            <v>24005980200</v>
          </cell>
          <cell r="B376" t="str">
            <v>Lansdowne - Baltimore Highlands, Halethorpe, MD</v>
          </cell>
        </row>
        <row r="377">
          <cell r="A377">
            <v>24510100300</v>
          </cell>
          <cell r="B377" t="str">
            <v>Penn - Fallsway, Baltimore, MD</v>
          </cell>
        </row>
        <row r="378">
          <cell r="A378">
            <v>24003980000</v>
          </cell>
          <cell r="B378" t="str">
            <v>Linthicum Heights, MD</v>
          </cell>
        </row>
      </sheetData>
    </sheetDataSet>
  </externalBook>
</externalLink>
</file>

<file path=xl/externalLinks/externalLink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own_tract_singleparent_share2"/>
    </sheetNames>
    <sheetDataSet>
      <sheetData sheetId="0" refreshError="1">
        <row r="2">
          <cell r="A2">
            <v>24510110100</v>
          </cell>
          <cell r="B2" t="str">
            <v>Downtown, Baltimore, MD</v>
          </cell>
          <cell r="C2">
            <v>1</v>
          </cell>
        </row>
        <row r="3">
          <cell r="A3">
            <v>24510150100</v>
          </cell>
          <cell r="B3" t="str">
            <v>Sandtown-Winchester, Baltimore, MD</v>
          </cell>
          <cell r="C3">
            <v>1</v>
          </cell>
        </row>
        <row r="4">
          <cell r="A4">
            <v>24510080700</v>
          </cell>
          <cell r="B4" t="str">
            <v>Broadway East, Baltimore, MD</v>
          </cell>
          <cell r="C4">
            <v>1</v>
          </cell>
        </row>
        <row r="5">
          <cell r="A5">
            <v>24510090900</v>
          </cell>
          <cell r="B5" t="str">
            <v>Oliver, Baltimore, MD</v>
          </cell>
          <cell r="C5">
            <v>1</v>
          </cell>
        </row>
        <row r="6">
          <cell r="A6">
            <v>24510250301</v>
          </cell>
          <cell r="B6" t="str">
            <v>Westport, Baltimore, MD</v>
          </cell>
          <cell r="C6">
            <v>1</v>
          </cell>
        </row>
        <row r="7">
          <cell r="A7">
            <v>24510180100</v>
          </cell>
          <cell r="B7" t="str">
            <v>Poppleton, Baltimore, MD</v>
          </cell>
          <cell r="C7">
            <v>0.98299999999999998</v>
          </cell>
        </row>
        <row r="8">
          <cell r="A8">
            <v>24510140200</v>
          </cell>
          <cell r="B8" t="str">
            <v>Upton, Baltimore, MD</v>
          </cell>
          <cell r="C8">
            <v>0.98080000000000001</v>
          </cell>
        </row>
        <row r="9">
          <cell r="A9">
            <v>24510090700</v>
          </cell>
          <cell r="B9" t="str">
            <v>Coldstream - Homestead - Montebello, Baltimore, MD</v>
          </cell>
          <cell r="C9">
            <v>0.97789999999999999</v>
          </cell>
        </row>
        <row r="10">
          <cell r="A10">
            <v>24510100200</v>
          </cell>
          <cell r="B10" t="str">
            <v>Baltimore, MD</v>
          </cell>
          <cell r="C10">
            <v>0.97760000000000002</v>
          </cell>
        </row>
        <row r="11">
          <cell r="A11">
            <v>24510190100</v>
          </cell>
          <cell r="B11" t="str">
            <v>Franklin Square, Baltimore, MD</v>
          </cell>
          <cell r="C11">
            <v>0.97450000000000003</v>
          </cell>
        </row>
        <row r="12">
          <cell r="A12">
            <v>24510080800</v>
          </cell>
          <cell r="B12" t="str">
            <v>Broadway East, Baltimore, MD</v>
          </cell>
          <cell r="C12">
            <v>0.97009999999999996</v>
          </cell>
        </row>
        <row r="13">
          <cell r="A13">
            <v>24510090800</v>
          </cell>
          <cell r="B13" t="str">
            <v>East Baltimore Midway, Baltimore, MD</v>
          </cell>
          <cell r="C13">
            <v>0.95630000000000004</v>
          </cell>
        </row>
        <row r="14">
          <cell r="A14">
            <v>24510271802</v>
          </cell>
          <cell r="B14" t="str">
            <v>Langston Hughes, Baltimore, MD</v>
          </cell>
          <cell r="C14">
            <v>0.95179999999999998</v>
          </cell>
        </row>
        <row r="15">
          <cell r="A15">
            <v>24510170300</v>
          </cell>
          <cell r="B15" t="str">
            <v>Upton, Baltimore, MD</v>
          </cell>
          <cell r="C15">
            <v>0.94069999999999998</v>
          </cell>
        </row>
        <row r="16">
          <cell r="A16">
            <v>24510080600</v>
          </cell>
          <cell r="B16" t="str">
            <v>Broadway East, Baltimore, MD</v>
          </cell>
          <cell r="C16">
            <v>0.9385</v>
          </cell>
        </row>
        <row r="17">
          <cell r="A17">
            <v>24510170100</v>
          </cell>
          <cell r="B17" t="str">
            <v>Downtown, Baltimore, MD</v>
          </cell>
          <cell r="C17">
            <v>0.93330000000000002</v>
          </cell>
        </row>
        <row r="18">
          <cell r="A18">
            <v>24510080301</v>
          </cell>
          <cell r="B18" t="str">
            <v>Berea, Baltimore, MD</v>
          </cell>
          <cell r="C18">
            <v>0.93279999999999996</v>
          </cell>
        </row>
        <row r="19">
          <cell r="A19">
            <v>24510270702</v>
          </cell>
          <cell r="B19" t="str">
            <v>Harford - Echodale - Perring Parkway, Baltimore, MD</v>
          </cell>
          <cell r="C19">
            <v>0.92789999999999995</v>
          </cell>
        </row>
        <row r="20">
          <cell r="A20">
            <v>24510250204</v>
          </cell>
          <cell r="B20" t="str">
            <v>Cherry Hill, Baltimore, MD</v>
          </cell>
          <cell r="C20">
            <v>0.92759999999999998</v>
          </cell>
        </row>
        <row r="21">
          <cell r="A21">
            <v>24510200300</v>
          </cell>
          <cell r="B21" t="str">
            <v>Bentalou-Smallwood, Baltimore, MD</v>
          </cell>
          <cell r="C21">
            <v>0.92379999999999995</v>
          </cell>
        </row>
        <row r="22">
          <cell r="A22">
            <v>24510030100</v>
          </cell>
          <cell r="B22" t="str">
            <v>Perkins Homes, Baltimore, MD</v>
          </cell>
          <cell r="C22">
            <v>0.92120000000000002</v>
          </cell>
        </row>
        <row r="23">
          <cell r="A23">
            <v>24510120600</v>
          </cell>
          <cell r="B23" t="str">
            <v>Old Goucher, Baltimore, MD</v>
          </cell>
          <cell r="C23">
            <v>0.91300000000000003</v>
          </cell>
        </row>
        <row r="24">
          <cell r="A24">
            <v>24510280500</v>
          </cell>
          <cell r="B24" t="str">
            <v>Pleasant View Gardens, Baltimore, MD</v>
          </cell>
          <cell r="C24">
            <v>0.90869999999999995</v>
          </cell>
        </row>
        <row r="25">
          <cell r="A25">
            <v>24510160400</v>
          </cell>
          <cell r="B25" t="str">
            <v>Midtown Edmondson, Baltimore, MD</v>
          </cell>
          <cell r="C25">
            <v>0.90780000000000005</v>
          </cell>
        </row>
        <row r="26">
          <cell r="A26">
            <v>24510280404</v>
          </cell>
          <cell r="B26" t="str">
            <v>Irvington, Baltimore, MD</v>
          </cell>
          <cell r="C26">
            <v>0.90439999999999998</v>
          </cell>
        </row>
        <row r="27">
          <cell r="A27">
            <v>24510170200</v>
          </cell>
          <cell r="B27" t="str">
            <v>McCulloh Homes, Baltimore, MD</v>
          </cell>
          <cell r="C27">
            <v>0.89929999999999999</v>
          </cell>
        </row>
        <row r="28">
          <cell r="A28">
            <v>24510150702</v>
          </cell>
          <cell r="B28" t="str">
            <v>Walbrook, Baltimore, MD</v>
          </cell>
          <cell r="C28">
            <v>0.89600000000000002</v>
          </cell>
        </row>
        <row r="29">
          <cell r="A29">
            <v>24510260302</v>
          </cell>
          <cell r="B29" t="str">
            <v>Belair - Edison, Baltimore, MD</v>
          </cell>
          <cell r="C29">
            <v>0.89059999999999995</v>
          </cell>
        </row>
        <row r="30">
          <cell r="A30">
            <v>24510160600</v>
          </cell>
          <cell r="B30" t="str">
            <v>Mosher, Baltimore, MD</v>
          </cell>
          <cell r="C30">
            <v>0.88</v>
          </cell>
        </row>
        <row r="31">
          <cell r="A31">
            <v>24510070200</v>
          </cell>
          <cell r="B31" t="str">
            <v>Madison - Eastend, Baltimore, MD</v>
          </cell>
          <cell r="C31">
            <v>0.87849999999999995</v>
          </cell>
        </row>
        <row r="32">
          <cell r="A32">
            <v>24510250101</v>
          </cell>
          <cell r="B32" t="str">
            <v>Beechfield, Baltimore, MD</v>
          </cell>
          <cell r="C32">
            <v>0.874</v>
          </cell>
        </row>
        <row r="33">
          <cell r="A33">
            <v>24510271002</v>
          </cell>
          <cell r="B33" t="str">
            <v>Winston - Govans, Baltimore, MD</v>
          </cell>
          <cell r="C33">
            <v>0.87060000000000004</v>
          </cell>
        </row>
        <row r="34">
          <cell r="A34">
            <v>24510150500</v>
          </cell>
          <cell r="B34" t="str">
            <v>Burleith-Leighton, Baltimore, MD</v>
          </cell>
          <cell r="C34">
            <v>0.86870000000000003</v>
          </cell>
        </row>
        <row r="35">
          <cell r="A35">
            <v>24510260303</v>
          </cell>
          <cell r="B35" t="str">
            <v>Claremont - Freedom, Baltimore, MD</v>
          </cell>
          <cell r="C35">
            <v>0.86760000000000004</v>
          </cell>
        </row>
        <row r="36">
          <cell r="A36">
            <v>24510280302</v>
          </cell>
          <cell r="B36" t="str">
            <v>West Forest Park, Baltimore, MD</v>
          </cell>
          <cell r="C36">
            <v>0.86350000000000005</v>
          </cell>
        </row>
        <row r="37">
          <cell r="A37">
            <v>24510200702</v>
          </cell>
          <cell r="B37" t="str">
            <v>Saint Joseph's, Baltimore, MD</v>
          </cell>
          <cell r="C37">
            <v>0.85919999999999996</v>
          </cell>
        </row>
        <row r="38">
          <cell r="A38">
            <v>24510260301</v>
          </cell>
          <cell r="B38" t="str">
            <v>Belair - Edison, Baltimore, MD</v>
          </cell>
          <cell r="C38">
            <v>0.85919999999999996</v>
          </cell>
        </row>
        <row r="39">
          <cell r="A39">
            <v>24510271001</v>
          </cell>
          <cell r="B39" t="str">
            <v>Baltimore, MD</v>
          </cell>
          <cell r="C39">
            <v>0.85909999999999997</v>
          </cell>
        </row>
        <row r="40">
          <cell r="A40">
            <v>24510130200</v>
          </cell>
          <cell r="B40" t="str">
            <v>Reservoir Hill, Baltimore, MD</v>
          </cell>
          <cell r="C40">
            <v>0.85709999999999997</v>
          </cell>
        </row>
        <row r="41">
          <cell r="A41">
            <v>24510160100</v>
          </cell>
          <cell r="B41" t="str">
            <v>Harlem Park, Baltimore, MD</v>
          </cell>
          <cell r="C41">
            <v>0.85619999999999996</v>
          </cell>
        </row>
        <row r="42">
          <cell r="A42">
            <v>24510260604</v>
          </cell>
          <cell r="B42" t="str">
            <v>O'Donnell Heights, Baltimore, MD</v>
          </cell>
          <cell r="C42">
            <v>0.85599999999999998</v>
          </cell>
        </row>
        <row r="43">
          <cell r="A43">
            <v>24510150600</v>
          </cell>
          <cell r="B43" t="str">
            <v>NW Community Action, Baltimore, MD</v>
          </cell>
          <cell r="C43">
            <v>0.85489999999999999</v>
          </cell>
        </row>
        <row r="44">
          <cell r="A44">
            <v>24510160300</v>
          </cell>
          <cell r="B44" t="str">
            <v>Sandtown-Winchester, Baltimore, MD</v>
          </cell>
          <cell r="C44">
            <v>0.85229999999999995</v>
          </cell>
        </row>
        <row r="45">
          <cell r="A45">
            <v>24510090600</v>
          </cell>
          <cell r="B45" t="str">
            <v>Coldstream - Homestead - Montebello, Baltimore, MD</v>
          </cell>
          <cell r="C45">
            <v>0.85140000000000005</v>
          </cell>
        </row>
        <row r="46">
          <cell r="A46">
            <v>24510070100</v>
          </cell>
          <cell r="B46" t="str">
            <v>Baltimore, MD</v>
          </cell>
          <cell r="C46">
            <v>0.84870000000000001</v>
          </cell>
        </row>
        <row r="47">
          <cell r="A47">
            <v>24510180300</v>
          </cell>
          <cell r="B47" t="str">
            <v>Hollins Market, Baltimore, MD</v>
          </cell>
          <cell r="C47">
            <v>0.8478</v>
          </cell>
        </row>
        <row r="48">
          <cell r="A48">
            <v>24510250102</v>
          </cell>
          <cell r="B48" t="str">
            <v>Yale Heights, Baltimore, MD</v>
          </cell>
          <cell r="C48">
            <v>0.8458</v>
          </cell>
        </row>
        <row r="49">
          <cell r="A49">
            <v>24510080500</v>
          </cell>
          <cell r="B49" t="str">
            <v>Darley Park, Baltimore, MD</v>
          </cell>
          <cell r="C49">
            <v>0.84140000000000004</v>
          </cell>
        </row>
        <row r="50">
          <cell r="A50">
            <v>24510160200</v>
          </cell>
          <cell r="B50" t="str">
            <v>Sandtown-Winchester, Baltimore, MD</v>
          </cell>
          <cell r="C50">
            <v>0.83789999999999998</v>
          </cell>
        </row>
        <row r="51">
          <cell r="A51">
            <v>24510271801</v>
          </cell>
          <cell r="B51" t="str">
            <v>Arlington, Baltimore, MD</v>
          </cell>
          <cell r="C51">
            <v>0.83250000000000002</v>
          </cell>
        </row>
        <row r="52">
          <cell r="A52">
            <v>24510150701</v>
          </cell>
          <cell r="B52" t="str">
            <v>Hanlon Longwood, Baltimore, MD</v>
          </cell>
          <cell r="C52">
            <v>0.82179999999999997</v>
          </cell>
        </row>
        <row r="53">
          <cell r="A53">
            <v>24510150800</v>
          </cell>
          <cell r="B53" t="str">
            <v>Garwyn Oaks, Baltimore, MD</v>
          </cell>
          <cell r="C53">
            <v>0.81720000000000004</v>
          </cell>
        </row>
        <row r="54">
          <cell r="A54">
            <v>24510200400</v>
          </cell>
          <cell r="B54" t="str">
            <v>Shipley Hill, Baltimore, MD</v>
          </cell>
          <cell r="C54">
            <v>0.81330000000000002</v>
          </cell>
        </row>
        <row r="55">
          <cell r="A55">
            <v>24510151000</v>
          </cell>
          <cell r="B55" t="str">
            <v>Dorchester, Baltimore, MD</v>
          </cell>
          <cell r="C55">
            <v>0.80669999999999997</v>
          </cell>
        </row>
        <row r="56">
          <cell r="A56">
            <v>24003751103</v>
          </cell>
          <cell r="B56" t="str">
            <v>Glen Burnie, MD</v>
          </cell>
          <cell r="C56">
            <v>0.80649999999999999</v>
          </cell>
        </row>
        <row r="57">
          <cell r="A57">
            <v>24510070400</v>
          </cell>
          <cell r="B57" t="str">
            <v>Gay Street, Baltimore, MD</v>
          </cell>
          <cell r="C57">
            <v>0.80620000000000003</v>
          </cell>
        </row>
        <row r="58">
          <cell r="A58">
            <v>24510280301</v>
          </cell>
          <cell r="B58" t="str">
            <v>Gwynn Oak, Baltimore, MD</v>
          </cell>
          <cell r="C58">
            <v>0.79620000000000002</v>
          </cell>
        </row>
        <row r="59">
          <cell r="A59">
            <v>24510150400</v>
          </cell>
          <cell r="B59" t="str">
            <v>Mondawmin, Baltimore, MD</v>
          </cell>
          <cell r="C59">
            <v>0.79490000000000005</v>
          </cell>
        </row>
        <row r="60">
          <cell r="A60">
            <v>24510260403</v>
          </cell>
          <cell r="B60" t="str">
            <v>Cedonia, Baltimore, MD</v>
          </cell>
          <cell r="C60">
            <v>0.79059999999999997</v>
          </cell>
        </row>
        <row r="61">
          <cell r="A61">
            <v>24510090400</v>
          </cell>
          <cell r="B61" t="str">
            <v>Better Waverly, Baltimore, MD</v>
          </cell>
          <cell r="C61">
            <v>0.78790000000000004</v>
          </cell>
        </row>
        <row r="62">
          <cell r="A62">
            <v>24510060100</v>
          </cell>
          <cell r="B62" t="str">
            <v>Patterson Park, Baltimore, MD</v>
          </cell>
          <cell r="C62">
            <v>0.78680000000000005</v>
          </cell>
        </row>
        <row r="63">
          <cell r="A63">
            <v>24005430300</v>
          </cell>
          <cell r="B63" t="str">
            <v>Lansdowne - Baltimore Highlands, Halethorpe, MD</v>
          </cell>
          <cell r="C63">
            <v>0.78249999999999997</v>
          </cell>
        </row>
        <row r="64">
          <cell r="A64">
            <v>24510151100</v>
          </cell>
          <cell r="B64" t="str">
            <v>East Arlington, Baltimore, MD</v>
          </cell>
          <cell r="C64">
            <v>0.7823</v>
          </cell>
        </row>
        <row r="65">
          <cell r="A65">
            <v>24510270701</v>
          </cell>
          <cell r="B65" t="str">
            <v>Harford - Echodale - Perring Parkway, Baltimore, MD</v>
          </cell>
          <cell r="C65">
            <v>0.77839999999999998</v>
          </cell>
        </row>
        <row r="66">
          <cell r="A66">
            <v>24510210200</v>
          </cell>
          <cell r="B66" t="str">
            <v>Pigtown, Baltimore, MD</v>
          </cell>
          <cell r="C66">
            <v>0.7772</v>
          </cell>
        </row>
        <row r="67">
          <cell r="A67">
            <v>24510151300</v>
          </cell>
          <cell r="B67" t="str">
            <v>Central Park Heights, Baltimore, MD</v>
          </cell>
          <cell r="C67">
            <v>0.7681</v>
          </cell>
        </row>
        <row r="68">
          <cell r="A68">
            <v>24510080400</v>
          </cell>
          <cell r="B68" t="str">
            <v>Broadway East, Baltimore, MD</v>
          </cell>
          <cell r="C68">
            <v>0.76529999999999998</v>
          </cell>
        </row>
        <row r="69">
          <cell r="A69">
            <v>24510160802</v>
          </cell>
          <cell r="B69" t="str">
            <v>Edmondson, Baltimore, MD</v>
          </cell>
          <cell r="C69">
            <v>0.75929999999999997</v>
          </cell>
        </row>
        <row r="70">
          <cell r="A70">
            <v>24510200800</v>
          </cell>
          <cell r="B70" t="str">
            <v>Irvington, Baltimore, MD</v>
          </cell>
          <cell r="C70">
            <v>0.75839999999999996</v>
          </cell>
        </row>
        <row r="71">
          <cell r="A71">
            <v>24510271600</v>
          </cell>
          <cell r="B71" t="str">
            <v>Edgecomb, Baltimore, MD</v>
          </cell>
          <cell r="C71">
            <v>0.75780000000000003</v>
          </cell>
        </row>
        <row r="72">
          <cell r="A72">
            <v>24510120500</v>
          </cell>
          <cell r="B72" t="str">
            <v>Greenmount West, Baltimore, MD</v>
          </cell>
          <cell r="C72">
            <v>0.7571</v>
          </cell>
        </row>
        <row r="73">
          <cell r="A73">
            <v>24510270902</v>
          </cell>
          <cell r="B73" t="str">
            <v>Perring Loch, Baltimore, MD</v>
          </cell>
          <cell r="C73">
            <v>0.75660000000000005</v>
          </cell>
        </row>
        <row r="74">
          <cell r="A74">
            <v>24510140300</v>
          </cell>
          <cell r="B74" t="str">
            <v>Druid Heights, Baltimore, MD</v>
          </cell>
          <cell r="C74">
            <v>0.74919999999999998</v>
          </cell>
        </row>
        <row r="75">
          <cell r="A75">
            <v>24005402307</v>
          </cell>
          <cell r="B75" t="str">
            <v>Pikesville, MD</v>
          </cell>
          <cell r="C75">
            <v>0.746</v>
          </cell>
        </row>
        <row r="76">
          <cell r="A76">
            <v>24510210100</v>
          </cell>
          <cell r="B76" t="str">
            <v>Pigtown, Baltimore, MD</v>
          </cell>
          <cell r="C76">
            <v>0.74590000000000001</v>
          </cell>
        </row>
        <row r="77">
          <cell r="A77">
            <v>24005402303</v>
          </cell>
          <cell r="B77" t="str">
            <v>Windsor Mill, Baltimore, MD</v>
          </cell>
          <cell r="C77">
            <v>0.74439999999999995</v>
          </cell>
        </row>
        <row r="78">
          <cell r="A78">
            <v>24510120400</v>
          </cell>
          <cell r="B78" t="str">
            <v>Barclay, Baltimore, MD</v>
          </cell>
          <cell r="C78">
            <v>0.74419999999999997</v>
          </cell>
        </row>
        <row r="79">
          <cell r="A79">
            <v>24005491401</v>
          </cell>
          <cell r="B79" t="str">
            <v>Parkville, MD</v>
          </cell>
          <cell r="C79">
            <v>0.74360000000000004</v>
          </cell>
        </row>
        <row r="80">
          <cell r="A80">
            <v>24510200701</v>
          </cell>
          <cell r="B80" t="str">
            <v>Allendale, Baltimore, MD</v>
          </cell>
          <cell r="C80">
            <v>0.74339999999999995</v>
          </cell>
        </row>
        <row r="81">
          <cell r="A81">
            <v>24510190200</v>
          </cell>
          <cell r="B81" t="str">
            <v>Pratt Monroe, Baltimore, MD</v>
          </cell>
          <cell r="C81">
            <v>0.73680000000000001</v>
          </cell>
        </row>
        <row r="82">
          <cell r="A82">
            <v>24510160801</v>
          </cell>
          <cell r="B82" t="str">
            <v>Edmondson, Baltimore, MD</v>
          </cell>
          <cell r="C82">
            <v>0.73240000000000005</v>
          </cell>
        </row>
        <row r="83">
          <cell r="A83">
            <v>24510151200</v>
          </cell>
          <cell r="B83" t="str">
            <v>Park Circle, Baltimore, MD</v>
          </cell>
          <cell r="C83">
            <v>0.73080000000000001</v>
          </cell>
        </row>
        <row r="84">
          <cell r="A84">
            <v>24510100100</v>
          </cell>
          <cell r="B84" t="str">
            <v>Johnson Square, Baltimore, MD</v>
          </cell>
          <cell r="C84">
            <v>0.71899999999999997</v>
          </cell>
        </row>
        <row r="85">
          <cell r="A85">
            <v>24510160700</v>
          </cell>
          <cell r="B85" t="str">
            <v>Rosemont, Baltimore, MD</v>
          </cell>
          <cell r="C85">
            <v>0.7147</v>
          </cell>
        </row>
        <row r="86">
          <cell r="A86">
            <v>24510130100</v>
          </cell>
          <cell r="B86" t="str">
            <v>Reservoir Hill, Baltimore, MD</v>
          </cell>
          <cell r="C86">
            <v>0.71289999999999998</v>
          </cell>
        </row>
        <row r="87">
          <cell r="A87">
            <v>24510270401</v>
          </cell>
          <cell r="B87" t="str">
            <v>Glenham-Belford, Baltimore, MD</v>
          </cell>
          <cell r="C87">
            <v>0.7127</v>
          </cell>
        </row>
        <row r="88">
          <cell r="A88">
            <v>24005450504</v>
          </cell>
          <cell r="B88" t="str">
            <v>Essex, MD</v>
          </cell>
          <cell r="C88">
            <v>0.71260000000000001</v>
          </cell>
        </row>
        <row r="89">
          <cell r="A89">
            <v>24005403402</v>
          </cell>
          <cell r="B89" t="str">
            <v>Pikesville, MD</v>
          </cell>
          <cell r="C89">
            <v>0.71230000000000004</v>
          </cell>
        </row>
        <row r="90">
          <cell r="A90">
            <v>24510080102</v>
          </cell>
          <cell r="B90" t="str">
            <v>Belair - Edison, Baltimore, MD</v>
          </cell>
          <cell r="C90">
            <v>0.71199999999999997</v>
          </cell>
        </row>
        <row r="91">
          <cell r="A91">
            <v>24005402404</v>
          </cell>
          <cell r="B91" t="str">
            <v>Gwynn Oak, Lochearn, MD</v>
          </cell>
          <cell r="C91">
            <v>0.71160000000000001</v>
          </cell>
        </row>
        <row r="92">
          <cell r="A92">
            <v>24005403100</v>
          </cell>
          <cell r="B92" t="str">
            <v>Gwynn Oak, Pikesville, MD</v>
          </cell>
          <cell r="C92">
            <v>0.70209999999999995</v>
          </cell>
        </row>
        <row r="93">
          <cell r="A93">
            <v>24510260404</v>
          </cell>
          <cell r="B93" t="str">
            <v>Baltimore Highlands, Baltimore, MD</v>
          </cell>
          <cell r="C93">
            <v>0.70140000000000002</v>
          </cell>
        </row>
        <row r="94">
          <cell r="A94">
            <v>24510270903</v>
          </cell>
          <cell r="B94" t="str">
            <v>Hillen, Baltimore, MD</v>
          </cell>
          <cell r="C94">
            <v>0.69789999999999996</v>
          </cell>
        </row>
        <row r="95">
          <cell r="A95">
            <v>24510160500</v>
          </cell>
          <cell r="B95" t="str">
            <v>Bridgeview-Greenlawn, Baltimore, MD</v>
          </cell>
          <cell r="C95">
            <v>0.69310000000000005</v>
          </cell>
        </row>
        <row r="96">
          <cell r="A96">
            <v>24510270805</v>
          </cell>
          <cell r="B96" t="str">
            <v>Mid-Govans, Baltimore, MD</v>
          </cell>
          <cell r="C96">
            <v>0.69189999999999996</v>
          </cell>
        </row>
        <row r="97">
          <cell r="A97">
            <v>24510130300</v>
          </cell>
          <cell r="B97" t="str">
            <v>Penn North, Baltimore, MD</v>
          </cell>
          <cell r="C97">
            <v>0.6915</v>
          </cell>
        </row>
        <row r="98">
          <cell r="A98">
            <v>24005420301</v>
          </cell>
          <cell r="B98" t="str">
            <v>Dundalk, MD</v>
          </cell>
          <cell r="C98">
            <v>0.68869999999999998</v>
          </cell>
        </row>
        <row r="99">
          <cell r="A99">
            <v>24510250401</v>
          </cell>
          <cell r="B99" t="str">
            <v>Brooklyn, Baltimore, MD</v>
          </cell>
          <cell r="C99">
            <v>0.6885</v>
          </cell>
        </row>
        <row r="100">
          <cell r="A100">
            <v>24510080302</v>
          </cell>
          <cell r="B100" t="str">
            <v>Berea, Baltimore, MD</v>
          </cell>
          <cell r="C100">
            <v>0.68640000000000001</v>
          </cell>
        </row>
        <row r="101">
          <cell r="A101">
            <v>24510250203</v>
          </cell>
          <cell r="B101" t="str">
            <v>Cherry Hill, Baltimore, MD</v>
          </cell>
          <cell r="C101">
            <v>0.67889999999999995</v>
          </cell>
        </row>
        <row r="102">
          <cell r="A102">
            <v>24510260402</v>
          </cell>
          <cell r="B102" t="str">
            <v>Frankford, Baltimore, MD</v>
          </cell>
          <cell r="C102">
            <v>0.67410000000000003</v>
          </cell>
        </row>
        <row r="103">
          <cell r="A103">
            <v>24510180200</v>
          </cell>
          <cell r="B103" t="str">
            <v>Poppleton, Baltimore, MD</v>
          </cell>
          <cell r="C103">
            <v>0.66669999999999996</v>
          </cell>
        </row>
        <row r="104">
          <cell r="A104">
            <v>24510200100</v>
          </cell>
          <cell r="B104" t="str">
            <v>Lexington, Baltimore, MD</v>
          </cell>
          <cell r="C104">
            <v>0.66339999999999999</v>
          </cell>
        </row>
        <row r="105">
          <cell r="A105">
            <v>24510250207</v>
          </cell>
          <cell r="B105" t="str">
            <v>Cherry Hill, Baltimore, MD</v>
          </cell>
          <cell r="C105">
            <v>0.66220000000000001</v>
          </cell>
        </row>
        <row r="106">
          <cell r="A106">
            <v>24510260203</v>
          </cell>
          <cell r="B106" t="str">
            <v>Frankford, Baltimore, MD</v>
          </cell>
          <cell r="C106">
            <v>0.65939999999999999</v>
          </cell>
        </row>
        <row r="107">
          <cell r="A107">
            <v>24005402503</v>
          </cell>
          <cell r="B107" t="str">
            <v>Randallstown, MD</v>
          </cell>
          <cell r="C107">
            <v>0.65310000000000001</v>
          </cell>
        </row>
        <row r="108">
          <cell r="A108">
            <v>24510150200</v>
          </cell>
          <cell r="B108" t="str">
            <v>Sandtown-Winchester, Baltimore, MD</v>
          </cell>
          <cell r="C108">
            <v>0.6512</v>
          </cell>
        </row>
        <row r="109">
          <cell r="A109">
            <v>24510250500</v>
          </cell>
          <cell r="B109" t="str">
            <v>Curtis Bay, Baltimore, MD</v>
          </cell>
          <cell r="C109">
            <v>0.65100000000000002</v>
          </cell>
        </row>
        <row r="110">
          <cell r="A110">
            <v>24510080101</v>
          </cell>
          <cell r="B110" t="str">
            <v>Belair - Edison, Baltimore, MD</v>
          </cell>
          <cell r="C110">
            <v>0.65100000000000002</v>
          </cell>
        </row>
        <row r="111">
          <cell r="A111">
            <v>24510190300</v>
          </cell>
          <cell r="B111" t="str">
            <v>Mount Clare, Baltimore, MD</v>
          </cell>
          <cell r="C111">
            <v>0.64470000000000005</v>
          </cell>
        </row>
        <row r="112">
          <cell r="A112">
            <v>24510130400</v>
          </cell>
          <cell r="B112" t="str">
            <v>Woodbrook, Baltimore, MD</v>
          </cell>
          <cell r="C112">
            <v>0.64410000000000001</v>
          </cell>
        </row>
        <row r="113">
          <cell r="A113">
            <v>24510060300</v>
          </cell>
          <cell r="B113" t="str">
            <v>Butchers Hill, Baltimore, MD</v>
          </cell>
          <cell r="C113">
            <v>0.64229999999999998</v>
          </cell>
        </row>
        <row r="114">
          <cell r="A114">
            <v>24510090500</v>
          </cell>
          <cell r="B114" t="str">
            <v>Better Waverly, Baltimore, MD</v>
          </cell>
          <cell r="C114">
            <v>0.63590000000000002</v>
          </cell>
        </row>
        <row r="115">
          <cell r="A115">
            <v>24510130804</v>
          </cell>
          <cell r="B115" t="str">
            <v>Hampden, Baltimore, MD</v>
          </cell>
          <cell r="C115">
            <v>0.63490000000000002</v>
          </cell>
        </row>
        <row r="116">
          <cell r="A116">
            <v>24005402406</v>
          </cell>
          <cell r="B116" t="str">
            <v>Windsor Mill, Milford Mill, MD</v>
          </cell>
          <cell r="C116">
            <v>0.63360000000000005</v>
          </cell>
        </row>
        <row r="117">
          <cell r="A117">
            <v>24510250402</v>
          </cell>
          <cell r="B117" t="str">
            <v>Brooklyn, Baltimore, MD</v>
          </cell>
          <cell r="C117">
            <v>0.62929999999999997</v>
          </cell>
        </row>
        <row r="118">
          <cell r="A118">
            <v>24510270802</v>
          </cell>
          <cell r="B118" t="str">
            <v>Ramblewood, Baltimore, MD</v>
          </cell>
          <cell r="C118">
            <v>0.625</v>
          </cell>
        </row>
        <row r="119">
          <cell r="A119">
            <v>24005402306</v>
          </cell>
          <cell r="B119" t="str">
            <v>Windsor Mill, Baltimore, MD</v>
          </cell>
          <cell r="C119">
            <v>0.61990000000000001</v>
          </cell>
        </row>
        <row r="120">
          <cell r="A120">
            <v>24005421200</v>
          </cell>
          <cell r="B120" t="str">
            <v>Dundalk, MD</v>
          </cell>
          <cell r="C120">
            <v>0.60960000000000003</v>
          </cell>
        </row>
        <row r="121">
          <cell r="A121">
            <v>24510260101</v>
          </cell>
          <cell r="B121" t="str">
            <v>Cedmont, Baltimore, MD</v>
          </cell>
          <cell r="C121">
            <v>0.60540000000000005</v>
          </cell>
        </row>
        <row r="122">
          <cell r="A122">
            <v>24005451802</v>
          </cell>
          <cell r="B122" t="str">
            <v>Middle River, MD</v>
          </cell>
          <cell r="C122">
            <v>0.60509999999999997</v>
          </cell>
        </row>
        <row r="123">
          <cell r="A123">
            <v>24510080200</v>
          </cell>
          <cell r="B123" t="str">
            <v>Broadway East, Baltimore, MD</v>
          </cell>
          <cell r="C123">
            <v>0.60470000000000002</v>
          </cell>
        </row>
        <row r="124">
          <cell r="A124">
            <v>24005420800</v>
          </cell>
          <cell r="B124" t="str">
            <v>Dundalk, MD</v>
          </cell>
          <cell r="C124">
            <v>0.60450000000000004</v>
          </cell>
        </row>
        <row r="125">
          <cell r="A125">
            <v>24510270801</v>
          </cell>
          <cell r="B125" t="str">
            <v>Idlewood, Baltimore, MD</v>
          </cell>
          <cell r="C125">
            <v>0.60119999999999996</v>
          </cell>
        </row>
        <row r="126">
          <cell r="A126">
            <v>24510280101</v>
          </cell>
          <cell r="B126" t="str">
            <v>Reisterstown Station, Baltimore, MD</v>
          </cell>
          <cell r="C126">
            <v>0.6008</v>
          </cell>
        </row>
        <row r="127">
          <cell r="A127">
            <v>24510120300</v>
          </cell>
          <cell r="B127" t="str">
            <v>Harwood, Baltimore, MD</v>
          </cell>
          <cell r="C127">
            <v>0.60070000000000001</v>
          </cell>
        </row>
        <row r="128">
          <cell r="A128">
            <v>24510200600</v>
          </cell>
          <cell r="B128" t="str">
            <v>Baltimore, MD</v>
          </cell>
          <cell r="C128">
            <v>0.59860000000000002</v>
          </cell>
        </row>
        <row r="129">
          <cell r="A129">
            <v>24510250205</v>
          </cell>
          <cell r="B129" t="str">
            <v>Lakeland, Baltimore, MD</v>
          </cell>
          <cell r="C129">
            <v>0.59599999999999997</v>
          </cell>
        </row>
        <row r="130">
          <cell r="A130">
            <v>24005401302</v>
          </cell>
          <cell r="B130" t="str">
            <v>Gwynn Oak, Baltimore, MD</v>
          </cell>
          <cell r="C130">
            <v>0.59419999999999995</v>
          </cell>
        </row>
        <row r="131">
          <cell r="A131">
            <v>24005421300</v>
          </cell>
          <cell r="B131" t="str">
            <v>Dundalk, MD</v>
          </cell>
          <cell r="C131">
            <v>0.59399999999999997</v>
          </cell>
        </row>
        <row r="132">
          <cell r="A132">
            <v>24005421102</v>
          </cell>
          <cell r="B132" t="str">
            <v>Dundalk, MD</v>
          </cell>
          <cell r="C132">
            <v>0.59150000000000003</v>
          </cell>
        </row>
        <row r="133">
          <cell r="A133">
            <v>24510280102</v>
          </cell>
          <cell r="B133" t="str">
            <v>Gwynn Oak, Baltimore, MD</v>
          </cell>
          <cell r="C133">
            <v>0.59009999999999996</v>
          </cell>
        </row>
        <row r="134">
          <cell r="A134">
            <v>24510280403</v>
          </cell>
          <cell r="B134" t="str">
            <v>Westgate, Baltimore, MD</v>
          </cell>
          <cell r="C134">
            <v>0.58979999999999999</v>
          </cell>
        </row>
        <row r="135">
          <cell r="A135">
            <v>24003750201</v>
          </cell>
          <cell r="B135" t="str">
            <v>Brooklyn, Baltimore, MD</v>
          </cell>
          <cell r="C135">
            <v>0.58499999999999996</v>
          </cell>
        </row>
        <row r="136">
          <cell r="A136">
            <v>24510270101</v>
          </cell>
          <cell r="B136" t="str">
            <v>Arcadia, Baltimore, MD</v>
          </cell>
          <cell r="C136">
            <v>0.58330000000000004</v>
          </cell>
        </row>
        <row r="137">
          <cell r="A137">
            <v>24005420600</v>
          </cell>
          <cell r="B137" t="str">
            <v>Baltimore, MD</v>
          </cell>
          <cell r="C137">
            <v>0.58250000000000002</v>
          </cell>
        </row>
        <row r="138">
          <cell r="A138">
            <v>24510280200</v>
          </cell>
          <cell r="B138" t="str">
            <v>Gwynn Oak, Baltimore, MD</v>
          </cell>
          <cell r="C138">
            <v>0.58109999999999995</v>
          </cell>
        </row>
        <row r="139">
          <cell r="A139">
            <v>24005450800</v>
          </cell>
          <cell r="B139" t="str">
            <v>Essex, MD</v>
          </cell>
          <cell r="C139">
            <v>0.58050000000000002</v>
          </cell>
        </row>
        <row r="140">
          <cell r="A140">
            <v>24005440701</v>
          </cell>
          <cell r="B140" t="str">
            <v>Rosedale, MD</v>
          </cell>
          <cell r="C140">
            <v>0.58009999999999995</v>
          </cell>
        </row>
        <row r="141">
          <cell r="A141">
            <v>24510272007</v>
          </cell>
          <cell r="B141" t="str">
            <v>Fallstaff, Baltimore, MD</v>
          </cell>
          <cell r="C141">
            <v>0.5746</v>
          </cell>
        </row>
        <row r="142">
          <cell r="A142">
            <v>24005402602</v>
          </cell>
          <cell r="B142" t="str">
            <v>Randallstown, MD</v>
          </cell>
          <cell r="C142">
            <v>0.57369999999999999</v>
          </cell>
        </row>
        <row r="143">
          <cell r="A143">
            <v>24005451500</v>
          </cell>
          <cell r="B143" t="str">
            <v>Middle River, MD</v>
          </cell>
          <cell r="C143">
            <v>0.57020000000000004</v>
          </cell>
        </row>
        <row r="144">
          <cell r="A144">
            <v>24510230100</v>
          </cell>
          <cell r="B144" t="str">
            <v>Baltimore, MD</v>
          </cell>
          <cell r="C144">
            <v>0.56899999999999995</v>
          </cell>
        </row>
        <row r="145">
          <cell r="A145">
            <v>24510030200</v>
          </cell>
          <cell r="B145" t="str">
            <v>Little Italy, Baltimore, MD</v>
          </cell>
          <cell r="C145">
            <v>0.5635</v>
          </cell>
        </row>
        <row r="146">
          <cell r="A146">
            <v>24510260202</v>
          </cell>
          <cell r="B146" t="str">
            <v>Parkside, Baltimore, MD</v>
          </cell>
          <cell r="C146">
            <v>0.56340000000000001</v>
          </cell>
        </row>
        <row r="147">
          <cell r="A147">
            <v>24005421000</v>
          </cell>
          <cell r="B147" t="str">
            <v>Dundalk, MD</v>
          </cell>
          <cell r="C147">
            <v>0.5625</v>
          </cell>
        </row>
        <row r="148">
          <cell r="A148">
            <v>24510260201</v>
          </cell>
          <cell r="B148" t="str">
            <v>Frankford, Baltimore, MD</v>
          </cell>
          <cell r="C148">
            <v>0.5615</v>
          </cell>
        </row>
        <row r="149">
          <cell r="A149">
            <v>24510130805</v>
          </cell>
          <cell r="B149" t="str">
            <v>Cold Springs, Baltimore, MD</v>
          </cell>
          <cell r="C149">
            <v>0.55769999999999997</v>
          </cell>
        </row>
        <row r="150">
          <cell r="A150">
            <v>24510260102</v>
          </cell>
          <cell r="B150" t="str">
            <v>Frankford, Baltimore, MD</v>
          </cell>
          <cell r="C150">
            <v>0.55700000000000005</v>
          </cell>
        </row>
        <row r="151">
          <cell r="A151">
            <v>24510150300</v>
          </cell>
          <cell r="B151" t="str">
            <v>Coppin Heights, Baltimore, MD</v>
          </cell>
          <cell r="C151">
            <v>0.55559999999999998</v>
          </cell>
        </row>
        <row r="152">
          <cell r="A152">
            <v>24005430200</v>
          </cell>
          <cell r="B152" t="str">
            <v>Lansdowne - Baltimore Highlands, Lansdowne, MD</v>
          </cell>
          <cell r="C152">
            <v>0.5534</v>
          </cell>
        </row>
        <row r="153">
          <cell r="A153">
            <v>24005420900</v>
          </cell>
          <cell r="B153" t="str">
            <v>Dundalk, MD</v>
          </cell>
          <cell r="C153">
            <v>0.55249999999999999</v>
          </cell>
        </row>
        <row r="154">
          <cell r="A154">
            <v>24005400701</v>
          </cell>
          <cell r="B154" t="str">
            <v>Catonsville, MD</v>
          </cell>
          <cell r="C154">
            <v>0.54379999999999995</v>
          </cell>
        </row>
        <row r="155">
          <cell r="A155">
            <v>24005492001</v>
          </cell>
          <cell r="B155" t="str">
            <v>Parkville, MD</v>
          </cell>
          <cell r="C155">
            <v>0.54330000000000001</v>
          </cell>
        </row>
        <row r="156">
          <cell r="A156">
            <v>24510070300</v>
          </cell>
          <cell r="B156" t="str">
            <v>Milton - Montford, Baltimore, MD</v>
          </cell>
          <cell r="C156">
            <v>0.54079999999999995</v>
          </cell>
        </row>
        <row r="157">
          <cell r="A157">
            <v>24510280402</v>
          </cell>
          <cell r="B157" t="str">
            <v>Rognel Heights, Baltimore, MD</v>
          </cell>
          <cell r="C157">
            <v>0.5242</v>
          </cell>
        </row>
        <row r="158">
          <cell r="A158">
            <v>24510130806</v>
          </cell>
          <cell r="B158" t="str">
            <v>Woodberry, Baltimore, MD</v>
          </cell>
          <cell r="C158">
            <v>0.5222</v>
          </cell>
        </row>
        <row r="159">
          <cell r="A159">
            <v>24510220100</v>
          </cell>
          <cell r="B159" t="str">
            <v>Baltimore, MD</v>
          </cell>
          <cell r="C159">
            <v>0.51949999999999996</v>
          </cell>
        </row>
        <row r="160">
          <cell r="A160">
            <v>24005491402</v>
          </cell>
          <cell r="B160" t="str">
            <v>Parkville, MD</v>
          </cell>
          <cell r="C160">
            <v>0.51929999999999998</v>
          </cell>
        </row>
        <row r="161">
          <cell r="A161">
            <v>24005400200</v>
          </cell>
          <cell r="B161" t="str">
            <v>Catonsville, MD</v>
          </cell>
          <cell r="C161">
            <v>0.51829999999999998</v>
          </cell>
        </row>
        <row r="162">
          <cell r="A162">
            <v>24510260401</v>
          </cell>
          <cell r="B162" t="str">
            <v>Armistead Gardens, Baltimore, MD</v>
          </cell>
          <cell r="C162">
            <v>0.51329999999999998</v>
          </cell>
        </row>
        <row r="163">
          <cell r="A163">
            <v>24005420302</v>
          </cell>
          <cell r="B163" t="str">
            <v>Dundalk, MD</v>
          </cell>
          <cell r="C163">
            <v>0.50980000000000003</v>
          </cell>
        </row>
        <row r="164">
          <cell r="A164">
            <v>24510060400</v>
          </cell>
          <cell r="B164" t="str">
            <v>Baltimore, MD</v>
          </cell>
          <cell r="C164">
            <v>0.5</v>
          </cell>
        </row>
        <row r="165">
          <cell r="A165">
            <v>24005451401</v>
          </cell>
          <cell r="B165" t="str">
            <v>Middle River, MD</v>
          </cell>
          <cell r="C165">
            <v>0.49859999999999999</v>
          </cell>
        </row>
        <row r="166">
          <cell r="A166">
            <v>24510150900</v>
          </cell>
          <cell r="B166" t="str">
            <v>Windsor Hills, Baltimore, MD</v>
          </cell>
          <cell r="C166">
            <v>0.49609999999999999</v>
          </cell>
        </row>
        <row r="167">
          <cell r="A167">
            <v>24510271700</v>
          </cell>
          <cell r="B167" t="str">
            <v>Central Park Heights, Baltimore, MD</v>
          </cell>
          <cell r="C167">
            <v>0.49059999999999998</v>
          </cell>
        </row>
        <row r="168">
          <cell r="A168">
            <v>24005450200</v>
          </cell>
          <cell r="B168" t="str">
            <v>Essex, MD</v>
          </cell>
          <cell r="C168">
            <v>0.48870000000000002</v>
          </cell>
        </row>
        <row r="169">
          <cell r="A169">
            <v>24510270803</v>
          </cell>
          <cell r="B169" t="str">
            <v>Loch Raven, Baltimore, MD</v>
          </cell>
          <cell r="C169">
            <v>0.48859999999999998</v>
          </cell>
        </row>
        <row r="170">
          <cell r="A170">
            <v>24510250303</v>
          </cell>
          <cell r="B170" t="str">
            <v>Morrell Park, Baltimore, MD</v>
          </cell>
          <cell r="C170">
            <v>0.48480000000000001</v>
          </cell>
        </row>
        <row r="171">
          <cell r="A171">
            <v>24005430101</v>
          </cell>
          <cell r="B171" t="str">
            <v>Lansdowne - Baltimore Highlands, Lansdowne, MD</v>
          </cell>
          <cell r="C171">
            <v>0.48220000000000002</v>
          </cell>
        </row>
        <row r="172">
          <cell r="A172">
            <v>24005402304</v>
          </cell>
          <cell r="B172" t="str">
            <v>Gwynn Oak, Baltimore, MD</v>
          </cell>
          <cell r="C172">
            <v>0.48209999999999997</v>
          </cell>
        </row>
        <row r="173">
          <cell r="A173">
            <v>24510020200</v>
          </cell>
          <cell r="B173" t="str">
            <v>Upper Fells Point, Baltimore, MD</v>
          </cell>
          <cell r="C173">
            <v>0.47789999999999999</v>
          </cell>
        </row>
        <row r="174">
          <cell r="A174">
            <v>24510200500</v>
          </cell>
          <cell r="B174" t="str">
            <v>Mill Hill, Baltimore, MD</v>
          </cell>
          <cell r="C174">
            <v>0.47449999999999998</v>
          </cell>
        </row>
        <row r="175">
          <cell r="A175">
            <v>24005420701</v>
          </cell>
          <cell r="B175" t="str">
            <v>Dundalk, MD</v>
          </cell>
          <cell r="C175">
            <v>0.47289999999999999</v>
          </cell>
        </row>
        <row r="176">
          <cell r="A176">
            <v>24510090100</v>
          </cell>
          <cell r="B176" t="str">
            <v>Ednor Gardens - Lakeside, Baltimore, MD</v>
          </cell>
          <cell r="C176">
            <v>0.4728</v>
          </cell>
        </row>
        <row r="177">
          <cell r="A177">
            <v>24510270102</v>
          </cell>
          <cell r="B177" t="str">
            <v>Waltherson, Baltimore, MD</v>
          </cell>
          <cell r="C177">
            <v>0.46379999999999999</v>
          </cell>
        </row>
        <row r="178">
          <cell r="A178">
            <v>24005401200</v>
          </cell>
          <cell r="B178" t="str">
            <v>Woodlawn, MD</v>
          </cell>
          <cell r="C178">
            <v>0.46200000000000002</v>
          </cell>
        </row>
        <row r="179">
          <cell r="A179">
            <v>24510270804</v>
          </cell>
          <cell r="B179" t="str">
            <v>Lake Walker, Baltimore, MD</v>
          </cell>
          <cell r="C179">
            <v>0.45450000000000002</v>
          </cell>
        </row>
        <row r="180">
          <cell r="A180">
            <v>24005401301</v>
          </cell>
          <cell r="B180" t="str">
            <v>Woodlawn, MD</v>
          </cell>
          <cell r="C180">
            <v>0.45369999999999999</v>
          </cell>
        </row>
        <row r="181">
          <cell r="A181">
            <v>24005430900</v>
          </cell>
          <cell r="B181" t="str">
            <v>Baltimore, MD</v>
          </cell>
          <cell r="C181">
            <v>0.45300000000000001</v>
          </cell>
        </row>
        <row r="182">
          <cell r="A182">
            <v>24510270901</v>
          </cell>
          <cell r="B182" t="str">
            <v>New Northwood, Baltimore, MD</v>
          </cell>
          <cell r="C182">
            <v>0.45040000000000002</v>
          </cell>
        </row>
        <row r="183">
          <cell r="A183">
            <v>24005450503</v>
          </cell>
          <cell r="B183" t="str">
            <v>Essex, MD</v>
          </cell>
          <cell r="C183">
            <v>0.4491</v>
          </cell>
        </row>
        <row r="184">
          <cell r="A184">
            <v>24005402506</v>
          </cell>
          <cell r="B184" t="str">
            <v>Randallstown, MD</v>
          </cell>
          <cell r="C184">
            <v>0.4491</v>
          </cell>
        </row>
        <row r="185">
          <cell r="A185">
            <v>24510260501</v>
          </cell>
          <cell r="B185" t="str">
            <v>Joseph Lee, Baltimore, MD</v>
          </cell>
          <cell r="C185">
            <v>0.44700000000000001</v>
          </cell>
        </row>
        <row r="186">
          <cell r="A186">
            <v>24005402405</v>
          </cell>
          <cell r="B186" t="str">
            <v>Gwynn Oak, Baltimore, MD</v>
          </cell>
          <cell r="C186">
            <v>0.44550000000000001</v>
          </cell>
        </row>
        <row r="187">
          <cell r="A187">
            <v>24510200200</v>
          </cell>
          <cell r="B187" t="str">
            <v>Lexington, Baltimore, MD</v>
          </cell>
          <cell r="C187">
            <v>0.44550000000000001</v>
          </cell>
        </row>
        <row r="188">
          <cell r="A188">
            <v>24510090200</v>
          </cell>
          <cell r="B188" t="str">
            <v>Ednor Gardens - Lakeside, Baltimore, MD</v>
          </cell>
          <cell r="C188">
            <v>0.44529999999999997</v>
          </cell>
        </row>
        <row r="189">
          <cell r="A189">
            <v>24510270502</v>
          </cell>
          <cell r="B189" t="str">
            <v>North Harford Road, Baltimore, MD</v>
          </cell>
          <cell r="C189">
            <v>0.44440000000000002</v>
          </cell>
        </row>
        <row r="190">
          <cell r="A190">
            <v>24005411407</v>
          </cell>
          <cell r="B190" t="str">
            <v>Parkville, MD</v>
          </cell>
          <cell r="C190">
            <v>0.44069999999999998</v>
          </cell>
        </row>
        <row r="191">
          <cell r="A191">
            <v>24510260700</v>
          </cell>
          <cell r="B191" t="str">
            <v>Fifteenth Street, Baltimore, MD</v>
          </cell>
          <cell r="C191">
            <v>0.44</v>
          </cell>
        </row>
        <row r="192">
          <cell r="A192">
            <v>24005490602</v>
          </cell>
          <cell r="B192" t="str">
            <v>Baltimore, MD</v>
          </cell>
          <cell r="C192">
            <v>0.43990000000000001</v>
          </cell>
        </row>
        <row r="193">
          <cell r="A193">
            <v>24510271900</v>
          </cell>
          <cell r="B193" t="str">
            <v>Glen, Baltimore, MD</v>
          </cell>
          <cell r="C193">
            <v>0.43940000000000001</v>
          </cell>
        </row>
        <row r="194">
          <cell r="A194">
            <v>24003750102</v>
          </cell>
          <cell r="B194" t="str">
            <v>Baltimore, MD</v>
          </cell>
          <cell r="C194">
            <v>0.4365</v>
          </cell>
        </row>
        <row r="195">
          <cell r="A195">
            <v>24510260605</v>
          </cell>
          <cell r="B195" t="str">
            <v>Medford - Broening, Baltimore, MD</v>
          </cell>
          <cell r="C195">
            <v>0.43630000000000002</v>
          </cell>
        </row>
        <row r="196">
          <cell r="A196">
            <v>24005402302</v>
          </cell>
          <cell r="B196" t="str">
            <v>Windsor Mill, Milford Mill, MD</v>
          </cell>
          <cell r="C196">
            <v>0.43340000000000001</v>
          </cell>
        </row>
        <row r="197">
          <cell r="A197">
            <v>24510250103</v>
          </cell>
          <cell r="B197" t="str">
            <v>Violetville, Baltimore, MD</v>
          </cell>
          <cell r="C197">
            <v>0.43219999999999997</v>
          </cell>
        </row>
        <row r="198">
          <cell r="A198">
            <v>24025301401</v>
          </cell>
          <cell r="B198" t="str">
            <v>Harford County, MD</v>
          </cell>
          <cell r="C198">
            <v>0.43159999999999998</v>
          </cell>
        </row>
        <row r="199">
          <cell r="A199">
            <v>24005402403</v>
          </cell>
          <cell r="B199" t="str">
            <v>Gwynn Oak, Baltimore, MD</v>
          </cell>
          <cell r="C199">
            <v>0.43149999999999999</v>
          </cell>
        </row>
        <row r="200">
          <cell r="A200">
            <v>24005440800</v>
          </cell>
          <cell r="B200" t="str">
            <v>Rosedale, MD</v>
          </cell>
          <cell r="C200">
            <v>0.43059999999999998</v>
          </cell>
        </row>
        <row r="201">
          <cell r="A201">
            <v>24003751102</v>
          </cell>
          <cell r="B201" t="str">
            <v>Glen Burnie, MD</v>
          </cell>
          <cell r="C201">
            <v>0.42899999999999999</v>
          </cell>
        </row>
        <row r="202">
          <cell r="A202">
            <v>24005441101</v>
          </cell>
          <cell r="B202" t="str">
            <v>Rosedale, MD</v>
          </cell>
          <cell r="C202">
            <v>0.42699999999999999</v>
          </cell>
        </row>
        <row r="203">
          <cell r="A203">
            <v>24005452500</v>
          </cell>
          <cell r="B203" t="str">
            <v>Dundalk, MD</v>
          </cell>
          <cell r="C203">
            <v>0.42559999999999998</v>
          </cell>
        </row>
        <row r="204">
          <cell r="A204">
            <v>24005403300</v>
          </cell>
          <cell r="B204" t="str">
            <v>Lochearn, Pikesville, MD</v>
          </cell>
          <cell r="C204">
            <v>0.42549999999999999</v>
          </cell>
        </row>
        <row r="205">
          <cell r="A205">
            <v>24005420401</v>
          </cell>
          <cell r="B205" t="str">
            <v>Dundalk, MD</v>
          </cell>
          <cell r="C205">
            <v>0.42320000000000002</v>
          </cell>
        </row>
        <row r="206">
          <cell r="A206">
            <v>24510020100</v>
          </cell>
          <cell r="B206" t="str">
            <v>Upper Fells Point, Baltimore, MD</v>
          </cell>
          <cell r="C206">
            <v>0.42220000000000002</v>
          </cell>
        </row>
        <row r="207">
          <cell r="A207">
            <v>24005450501</v>
          </cell>
          <cell r="B207" t="str">
            <v>Essex, MD</v>
          </cell>
          <cell r="C207">
            <v>0.41899999999999998</v>
          </cell>
        </row>
        <row r="208">
          <cell r="A208">
            <v>24005420702</v>
          </cell>
          <cell r="B208" t="str">
            <v>Dundalk, MD</v>
          </cell>
          <cell r="C208">
            <v>0.4133</v>
          </cell>
        </row>
        <row r="209">
          <cell r="A209">
            <v>24005491500</v>
          </cell>
          <cell r="B209" t="str">
            <v>Parkville, MD</v>
          </cell>
          <cell r="C209">
            <v>0.41160000000000002</v>
          </cell>
        </row>
        <row r="210">
          <cell r="A210">
            <v>24005401102</v>
          </cell>
          <cell r="B210" t="str">
            <v>Gwynn Oak, Woodlawn, MD</v>
          </cell>
          <cell r="C210">
            <v>0.41099999999999998</v>
          </cell>
        </row>
        <row r="211">
          <cell r="A211">
            <v>24510060200</v>
          </cell>
          <cell r="B211" t="str">
            <v>Baltimore, MD</v>
          </cell>
          <cell r="C211">
            <v>0.40839999999999999</v>
          </cell>
        </row>
        <row r="212">
          <cell r="A212">
            <v>24005440300</v>
          </cell>
          <cell r="B212" t="str">
            <v>Nottingham, MD</v>
          </cell>
          <cell r="C212">
            <v>0.40489999999999998</v>
          </cell>
        </row>
        <row r="213">
          <cell r="A213">
            <v>24005492300</v>
          </cell>
          <cell r="B213" t="str">
            <v>Essex, MD</v>
          </cell>
          <cell r="C213">
            <v>0.4017</v>
          </cell>
        </row>
        <row r="214">
          <cell r="A214">
            <v>24510272003</v>
          </cell>
          <cell r="B214" t="str">
            <v>Baltimore, MD</v>
          </cell>
          <cell r="C214">
            <v>0.40100000000000002</v>
          </cell>
        </row>
        <row r="215">
          <cell r="A215">
            <v>24510130803</v>
          </cell>
          <cell r="B215" t="str">
            <v>Medfield, Baltimore, MD</v>
          </cell>
          <cell r="C215">
            <v>0.39860000000000001</v>
          </cell>
        </row>
        <row r="216">
          <cell r="A216">
            <v>24005402509</v>
          </cell>
          <cell r="B216" t="str">
            <v>Owings Mills, MD</v>
          </cell>
          <cell r="C216">
            <v>0.39539999999999997</v>
          </cell>
        </row>
        <row r="217">
          <cell r="A217">
            <v>24005452300</v>
          </cell>
          <cell r="B217" t="str">
            <v>Baltimore, MD</v>
          </cell>
          <cell r="C217">
            <v>0.39529999999999998</v>
          </cell>
        </row>
        <row r="218">
          <cell r="A218">
            <v>24510272006</v>
          </cell>
          <cell r="B218" t="str">
            <v>Glen, Baltimore, MD</v>
          </cell>
          <cell r="C218">
            <v>0.39050000000000001</v>
          </cell>
        </row>
        <row r="219">
          <cell r="A219">
            <v>24005450400</v>
          </cell>
          <cell r="B219" t="str">
            <v>Essex, MD</v>
          </cell>
          <cell r="C219">
            <v>0.38919999999999999</v>
          </cell>
        </row>
        <row r="220">
          <cell r="A220">
            <v>24005403201</v>
          </cell>
          <cell r="B220" t="str">
            <v>Gwynn Oak, Lochearn, MD</v>
          </cell>
          <cell r="C220">
            <v>0.38740000000000002</v>
          </cell>
        </row>
        <row r="221">
          <cell r="A221">
            <v>24005403202</v>
          </cell>
          <cell r="B221" t="str">
            <v>Gwynn Oak, Baltimore, MD</v>
          </cell>
          <cell r="C221">
            <v>0.38640000000000002</v>
          </cell>
        </row>
        <row r="222">
          <cell r="A222">
            <v>24005451803</v>
          </cell>
          <cell r="B222" t="str">
            <v>Middle River, MD</v>
          </cell>
          <cell r="C222">
            <v>0.3846</v>
          </cell>
        </row>
        <row r="223">
          <cell r="A223">
            <v>24005403701</v>
          </cell>
          <cell r="B223" t="str">
            <v>Owings Mills, MD</v>
          </cell>
          <cell r="C223">
            <v>0.38440000000000002</v>
          </cell>
        </row>
        <row r="224">
          <cell r="A224">
            <v>24005430800</v>
          </cell>
          <cell r="B224" t="str">
            <v>Halethorpe, MD</v>
          </cell>
          <cell r="C224">
            <v>0.38350000000000001</v>
          </cell>
        </row>
        <row r="225">
          <cell r="A225">
            <v>24005492002</v>
          </cell>
          <cell r="B225" t="str">
            <v>Parkville, MD</v>
          </cell>
          <cell r="C225">
            <v>0.38190000000000002</v>
          </cell>
        </row>
        <row r="226">
          <cell r="A226">
            <v>24510260800</v>
          </cell>
          <cell r="B226" t="str">
            <v>Baltimore Highlands, Baltimore, MD</v>
          </cell>
          <cell r="C226">
            <v>0.38119999999999998</v>
          </cell>
        </row>
        <row r="227">
          <cell r="A227">
            <v>24005430104</v>
          </cell>
          <cell r="B227" t="str">
            <v>Lansdowne - Baltimore Highlands, Halethorpe, MD</v>
          </cell>
          <cell r="C227">
            <v>0.38100000000000001</v>
          </cell>
        </row>
        <row r="228">
          <cell r="A228">
            <v>24005440900</v>
          </cell>
          <cell r="B228" t="str">
            <v>Rosedale, MD</v>
          </cell>
          <cell r="C228">
            <v>0.38030000000000003</v>
          </cell>
        </row>
        <row r="229">
          <cell r="A229">
            <v>24005451600</v>
          </cell>
          <cell r="B229" t="str">
            <v>Middle River, MD</v>
          </cell>
          <cell r="C229">
            <v>0.37169999999999997</v>
          </cell>
        </row>
        <row r="230">
          <cell r="A230">
            <v>24005402305</v>
          </cell>
          <cell r="B230" t="str">
            <v>Lochearn, Pikesville, MD</v>
          </cell>
          <cell r="C230">
            <v>0.37090000000000001</v>
          </cell>
        </row>
        <row r="231">
          <cell r="A231">
            <v>24005403702</v>
          </cell>
          <cell r="B231" t="str">
            <v>Pikesville, MD</v>
          </cell>
          <cell r="C231">
            <v>0.37059999999999998</v>
          </cell>
        </row>
        <row r="232">
          <cell r="A232">
            <v>24510270600</v>
          </cell>
          <cell r="B232" t="str">
            <v>Harford - Echodale - Perring Parkway, Baltimore, MD</v>
          </cell>
          <cell r="C232">
            <v>0.37030000000000002</v>
          </cell>
        </row>
        <row r="233">
          <cell r="A233">
            <v>24003750803</v>
          </cell>
          <cell r="B233" t="str">
            <v>Glen Burnie, MD</v>
          </cell>
          <cell r="C233">
            <v>0.36759999999999998</v>
          </cell>
        </row>
        <row r="234">
          <cell r="A234">
            <v>24005401506</v>
          </cell>
          <cell r="B234" t="str">
            <v>Windsor Mill, Baltimore, MD</v>
          </cell>
          <cell r="C234">
            <v>0.36430000000000001</v>
          </cell>
        </row>
        <row r="235">
          <cell r="A235">
            <v>24005400800</v>
          </cell>
          <cell r="B235" t="str">
            <v>Catonsville, MD</v>
          </cell>
          <cell r="C235">
            <v>0.36399999999999999</v>
          </cell>
        </row>
        <row r="236">
          <cell r="A236">
            <v>24510271101</v>
          </cell>
          <cell r="B236" t="str">
            <v>Radnor - Winston, Baltimore, MD</v>
          </cell>
          <cell r="C236">
            <v>0.36299999999999999</v>
          </cell>
        </row>
        <row r="237">
          <cell r="A237">
            <v>24005451300</v>
          </cell>
          <cell r="B237" t="str">
            <v>Middle River, MD</v>
          </cell>
          <cell r="C237">
            <v>0.36220000000000002</v>
          </cell>
        </row>
        <row r="238">
          <cell r="A238">
            <v>24005420200</v>
          </cell>
          <cell r="B238" t="str">
            <v>Dundalk, MD</v>
          </cell>
          <cell r="C238">
            <v>0.36170000000000002</v>
          </cell>
        </row>
        <row r="239">
          <cell r="A239">
            <v>24003750101</v>
          </cell>
          <cell r="B239" t="str">
            <v>Brooklyn Park, MD</v>
          </cell>
          <cell r="C239">
            <v>0.3599</v>
          </cell>
        </row>
        <row r="240">
          <cell r="A240">
            <v>24005441000</v>
          </cell>
          <cell r="B240" t="str">
            <v>Baltimore, MD</v>
          </cell>
          <cell r="C240">
            <v>0.35470000000000002</v>
          </cell>
        </row>
        <row r="241">
          <cell r="A241">
            <v>24005452100</v>
          </cell>
          <cell r="B241" t="str">
            <v>Sparrows Point, MD</v>
          </cell>
          <cell r="C241">
            <v>0.35460000000000003</v>
          </cell>
        </row>
        <row r="242">
          <cell r="A242">
            <v>24005402407</v>
          </cell>
          <cell r="B242" t="str">
            <v>Windsor Mill, Milford Mill, MD</v>
          </cell>
          <cell r="C242">
            <v>0.35420000000000001</v>
          </cell>
        </row>
        <row r="243">
          <cell r="A243">
            <v>24510280401</v>
          </cell>
          <cell r="B243" t="str">
            <v>Baltimore, MD</v>
          </cell>
          <cell r="C243">
            <v>0.34870000000000001</v>
          </cell>
        </row>
        <row r="244">
          <cell r="A244">
            <v>24005440200</v>
          </cell>
          <cell r="B244" t="str">
            <v>Nottingham, MD</v>
          </cell>
          <cell r="C244">
            <v>0.34770000000000001</v>
          </cell>
        </row>
        <row r="245">
          <cell r="A245">
            <v>24005440100</v>
          </cell>
          <cell r="B245" t="str">
            <v>Baltimore, MD</v>
          </cell>
          <cell r="C245">
            <v>0.34399999999999997</v>
          </cell>
        </row>
        <row r="246">
          <cell r="A246">
            <v>24005450300</v>
          </cell>
          <cell r="B246" t="str">
            <v>Essex, MD</v>
          </cell>
          <cell r="C246">
            <v>0.3422</v>
          </cell>
        </row>
        <row r="247">
          <cell r="A247">
            <v>24027601107</v>
          </cell>
          <cell r="B247" t="str">
            <v>Waterloo, Elkridge, MD</v>
          </cell>
          <cell r="C247">
            <v>0.33939999999999998</v>
          </cell>
        </row>
        <row r="248">
          <cell r="A248">
            <v>24005440702</v>
          </cell>
          <cell r="B248" t="str">
            <v>Rosedale, MD</v>
          </cell>
          <cell r="C248">
            <v>0.33900000000000002</v>
          </cell>
        </row>
        <row r="249">
          <cell r="A249">
            <v>24025306500</v>
          </cell>
          <cell r="B249" t="str">
            <v>Aberdeen Proving Ground, MD</v>
          </cell>
          <cell r="C249">
            <v>0.33589999999999998</v>
          </cell>
        </row>
        <row r="250">
          <cell r="A250">
            <v>24027601201</v>
          </cell>
          <cell r="B250" t="str">
            <v>Elkridge, MD</v>
          </cell>
          <cell r="C250">
            <v>0.33360000000000001</v>
          </cell>
        </row>
        <row r="251">
          <cell r="A251">
            <v>24510270200</v>
          </cell>
          <cell r="B251" t="str">
            <v>Lauraville, Baltimore, MD</v>
          </cell>
          <cell r="C251">
            <v>0.33329999999999999</v>
          </cell>
        </row>
        <row r="252">
          <cell r="A252">
            <v>24005451402</v>
          </cell>
          <cell r="B252" t="str">
            <v>Middle River, MD</v>
          </cell>
          <cell r="C252">
            <v>0.32569999999999999</v>
          </cell>
        </row>
        <row r="253">
          <cell r="A253">
            <v>24005420303</v>
          </cell>
          <cell r="B253" t="str">
            <v>Dundalk, MD</v>
          </cell>
          <cell r="C253">
            <v>0.32519999999999999</v>
          </cell>
        </row>
        <row r="254">
          <cell r="A254">
            <v>24005450900</v>
          </cell>
          <cell r="B254" t="str">
            <v>Essex, MD</v>
          </cell>
          <cell r="C254">
            <v>0.32500000000000001</v>
          </cell>
        </row>
        <row r="255">
          <cell r="A255">
            <v>24510120700</v>
          </cell>
          <cell r="B255" t="str">
            <v>Remington, Baltimore, MD</v>
          </cell>
          <cell r="C255">
            <v>0.32319999999999999</v>
          </cell>
        </row>
        <row r="256">
          <cell r="A256">
            <v>24005401507</v>
          </cell>
          <cell r="B256" t="str">
            <v>Windsor Mill, Baltimore, MD</v>
          </cell>
          <cell r="C256">
            <v>0.32300000000000001</v>
          </cell>
        </row>
        <row r="257">
          <cell r="A257">
            <v>24005451701</v>
          </cell>
          <cell r="B257" t="str">
            <v>Middle River, MD</v>
          </cell>
          <cell r="C257">
            <v>0.31919999999999998</v>
          </cell>
        </row>
        <row r="258">
          <cell r="A258">
            <v>24510010100</v>
          </cell>
          <cell r="B258" t="str">
            <v>Canton, Baltimore, MD</v>
          </cell>
          <cell r="C258">
            <v>0.31900000000000001</v>
          </cell>
        </row>
        <row r="259">
          <cell r="A259">
            <v>24005420500</v>
          </cell>
          <cell r="B259" t="str">
            <v>Baltimore, MD</v>
          </cell>
          <cell r="C259">
            <v>0.31879999999999997</v>
          </cell>
        </row>
        <row r="260">
          <cell r="A260">
            <v>24510270301</v>
          </cell>
          <cell r="B260" t="str">
            <v>Lauraville, Baltimore, MD</v>
          </cell>
          <cell r="C260">
            <v>0.31850000000000001</v>
          </cell>
        </row>
        <row r="261">
          <cell r="A261">
            <v>24005420402</v>
          </cell>
          <cell r="B261" t="str">
            <v>Dundalk, MD</v>
          </cell>
          <cell r="C261">
            <v>0.3155</v>
          </cell>
        </row>
        <row r="262">
          <cell r="A262">
            <v>24005491202</v>
          </cell>
          <cell r="B262" t="str">
            <v>Towson, MD</v>
          </cell>
          <cell r="C262">
            <v>0.31430000000000002</v>
          </cell>
        </row>
        <row r="263">
          <cell r="A263">
            <v>24510261000</v>
          </cell>
          <cell r="B263" t="str">
            <v>Patterson Park, Baltimore, MD</v>
          </cell>
          <cell r="C263">
            <v>0.31380000000000002</v>
          </cell>
        </row>
        <row r="264">
          <cell r="A264">
            <v>24510271503</v>
          </cell>
          <cell r="B264" t="str">
            <v>Cross Keys, Baltimore, MD</v>
          </cell>
          <cell r="C264">
            <v>0.31030000000000002</v>
          </cell>
        </row>
        <row r="265">
          <cell r="A265">
            <v>24005401101</v>
          </cell>
          <cell r="B265" t="str">
            <v>Woodlawn, MD</v>
          </cell>
          <cell r="C265">
            <v>0.30559999999999998</v>
          </cell>
        </row>
        <row r="266">
          <cell r="A266">
            <v>24005450100</v>
          </cell>
          <cell r="B266" t="str">
            <v>Rosedale, MD</v>
          </cell>
          <cell r="C266">
            <v>0.3024</v>
          </cell>
        </row>
        <row r="267">
          <cell r="A267">
            <v>24510260900</v>
          </cell>
          <cell r="B267" t="str">
            <v>Baltimore, MD</v>
          </cell>
          <cell r="C267">
            <v>0.30070000000000002</v>
          </cell>
        </row>
        <row r="268">
          <cell r="A268">
            <v>24005451801</v>
          </cell>
          <cell r="B268" t="str">
            <v>Middle River, MD</v>
          </cell>
          <cell r="C268">
            <v>0.3004</v>
          </cell>
        </row>
        <row r="269">
          <cell r="A269">
            <v>24510090300</v>
          </cell>
          <cell r="B269" t="str">
            <v>Ednor Gardens - Lakeside, Baltimore, MD</v>
          </cell>
          <cell r="C269">
            <v>0.29930000000000001</v>
          </cell>
        </row>
        <row r="270">
          <cell r="A270">
            <v>24005402604</v>
          </cell>
          <cell r="B270" t="str">
            <v>Randallstown, MD</v>
          </cell>
          <cell r="C270">
            <v>0.29909999999999998</v>
          </cell>
        </row>
        <row r="271">
          <cell r="A271">
            <v>24510010500</v>
          </cell>
          <cell r="B271" t="str">
            <v>Upper Fells Point, Baltimore, MD</v>
          </cell>
          <cell r="C271">
            <v>0.29730000000000001</v>
          </cell>
        </row>
        <row r="272">
          <cell r="A272">
            <v>24005421101</v>
          </cell>
          <cell r="B272" t="str">
            <v>Baltimore, MD</v>
          </cell>
          <cell r="C272">
            <v>0.29239999999999999</v>
          </cell>
        </row>
        <row r="273">
          <cell r="A273">
            <v>24005411307</v>
          </cell>
          <cell r="B273" t="str">
            <v>Nottingham, MD</v>
          </cell>
          <cell r="C273">
            <v>0.28910000000000002</v>
          </cell>
        </row>
        <row r="274">
          <cell r="A274">
            <v>24510020300</v>
          </cell>
          <cell r="B274" t="str">
            <v>Fells Point, Baltimore, MD</v>
          </cell>
          <cell r="C274">
            <v>0.27910000000000001</v>
          </cell>
        </row>
        <row r="275">
          <cell r="A275">
            <v>24510120100</v>
          </cell>
          <cell r="B275" t="str">
            <v>Tuscany - Canterbury, Baltimore, MD</v>
          </cell>
          <cell r="C275">
            <v>0.2772</v>
          </cell>
        </row>
        <row r="276">
          <cell r="A276">
            <v>24005492102</v>
          </cell>
          <cell r="B276" t="str">
            <v>Parkville, MD</v>
          </cell>
          <cell r="C276">
            <v>0.27689999999999998</v>
          </cell>
        </row>
        <row r="277">
          <cell r="A277">
            <v>24005440600</v>
          </cell>
          <cell r="B277" t="str">
            <v>Rosedale, MD</v>
          </cell>
          <cell r="C277">
            <v>0.2727</v>
          </cell>
        </row>
        <row r="278">
          <cell r="A278">
            <v>24005452000</v>
          </cell>
          <cell r="B278" t="str">
            <v>Sparrows Point, MD</v>
          </cell>
          <cell r="C278">
            <v>0.27179999999999999</v>
          </cell>
        </row>
        <row r="279">
          <cell r="A279">
            <v>24005400600</v>
          </cell>
          <cell r="B279" t="str">
            <v>Catonsville, MD</v>
          </cell>
          <cell r="C279">
            <v>0.26519999999999999</v>
          </cell>
        </row>
        <row r="280">
          <cell r="A280">
            <v>24005400702</v>
          </cell>
          <cell r="B280" t="str">
            <v>Baltimore, MD</v>
          </cell>
          <cell r="C280">
            <v>0.26340000000000002</v>
          </cell>
        </row>
        <row r="281">
          <cell r="A281">
            <v>24005401000</v>
          </cell>
          <cell r="B281" t="str">
            <v>Catonsville, MD</v>
          </cell>
          <cell r="C281">
            <v>0.2616</v>
          </cell>
        </row>
        <row r="282">
          <cell r="A282">
            <v>24027601203</v>
          </cell>
          <cell r="B282" t="str">
            <v>Elkridge, MD</v>
          </cell>
          <cell r="C282">
            <v>0.25929999999999997</v>
          </cell>
        </row>
        <row r="283">
          <cell r="A283">
            <v>24003750801</v>
          </cell>
          <cell r="B283" t="str">
            <v>Glen Burnie, MD</v>
          </cell>
          <cell r="C283">
            <v>0.25619999999999998</v>
          </cell>
        </row>
        <row r="284">
          <cell r="A284">
            <v>24510270302</v>
          </cell>
          <cell r="B284" t="str">
            <v>Waltherson, Baltimore, MD</v>
          </cell>
          <cell r="C284">
            <v>0.25359999999999999</v>
          </cell>
        </row>
        <row r="285">
          <cell r="A285">
            <v>24003750400</v>
          </cell>
          <cell r="B285" t="str">
            <v>Linthicum Heights, MD</v>
          </cell>
          <cell r="C285">
            <v>0.25</v>
          </cell>
        </row>
        <row r="286">
          <cell r="A286">
            <v>24510130600</v>
          </cell>
          <cell r="B286" t="str">
            <v>Hampden, Baltimore, MD</v>
          </cell>
          <cell r="C286">
            <v>0.2492</v>
          </cell>
        </row>
        <row r="287">
          <cell r="A287">
            <v>24005441102</v>
          </cell>
          <cell r="B287" t="str">
            <v>Rosedale, MD</v>
          </cell>
          <cell r="C287">
            <v>0.24879999999999999</v>
          </cell>
        </row>
        <row r="288">
          <cell r="A288">
            <v>24005492101</v>
          </cell>
          <cell r="B288" t="str">
            <v>Parkville, MD</v>
          </cell>
          <cell r="C288">
            <v>0.2477</v>
          </cell>
        </row>
        <row r="289">
          <cell r="A289">
            <v>24027601204</v>
          </cell>
          <cell r="B289" t="str">
            <v>Elkridge, MD</v>
          </cell>
          <cell r="C289">
            <v>0.24030000000000001</v>
          </cell>
        </row>
        <row r="290">
          <cell r="A290">
            <v>24005451900</v>
          </cell>
          <cell r="B290" t="str">
            <v>Edgemere, MD</v>
          </cell>
          <cell r="C290">
            <v>0.23269999999999999</v>
          </cell>
        </row>
        <row r="291">
          <cell r="A291">
            <v>24027602900</v>
          </cell>
          <cell r="B291" t="str">
            <v>Normandy, Ellicott City, MD</v>
          </cell>
          <cell r="C291">
            <v>0.23039999999999999</v>
          </cell>
        </row>
        <row r="292">
          <cell r="A292">
            <v>24005440400</v>
          </cell>
          <cell r="B292" t="str">
            <v>Baltimore, MD</v>
          </cell>
          <cell r="C292">
            <v>0.22969999999999999</v>
          </cell>
        </row>
        <row r="293">
          <cell r="A293">
            <v>24005451702</v>
          </cell>
          <cell r="B293" t="str">
            <v>Middle River, MD</v>
          </cell>
          <cell r="C293">
            <v>0.2293</v>
          </cell>
        </row>
        <row r="294">
          <cell r="A294">
            <v>24005401400</v>
          </cell>
          <cell r="B294" t="str">
            <v>Catonsville, MD</v>
          </cell>
          <cell r="C294">
            <v>0.22750000000000001</v>
          </cell>
        </row>
        <row r="295">
          <cell r="A295">
            <v>24005430600</v>
          </cell>
          <cell r="B295" t="str">
            <v>Relay, Halethorpe, MD</v>
          </cell>
          <cell r="C295">
            <v>0.2271</v>
          </cell>
        </row>
        <row r="296">
          <cell r="A296">
            <v>24005490601</v>
          </cell>
          <cell r="B296" t="str">
            <v>Baltimore, MD</v>
          </cell>
          <cell r="C296">
            <v>0.22589999999999999</v>
          </cell>
        </row>
        <row r="297">
          <cell r="A297">
            <v>24005400900</v>
          </cell>
          <cell r="B297" t="str">
            <v>Catonsville, MD</v>
          </cell>
          <cell r="C297">
            <v>0.22589999999999999</v>
          </cell>
        </row>
        <row r="298">
          <cell r="A298">
            <v>24005451100</v>
          </cell>
          <cell r="B298" t="str">
            <v>Essex, MD</v>
          </cell>
          <cell r="C298">
            <v>0.22589999999999999</v>
          </cell>
        </row>
        <row r="299">
          <cell r="A299">
            <v>24027601108</v>
          </cell>
          <cell r="B299" t="str">
            <v>Ellicott City, MD</v>
          </cell>
          <cell r="C299">
            <v>0.22450000000000001</v>
          </cell>
        </row>
        <row r="300">
          <cell r="A300">
            <v>24005403803</v>
          </cell>
          <cell r="B300" t="str">
            <v>Pikesville, MD</v>
          </cell>
          <cell r="C300">
            <v>0.2243</v>
          </cell>
        </row>
        <row r="301">
          <cell r="A301">
            <v>24510271400</v>
          </cell>
          <cell r="B301" t="str">
            <v>Evergreen, Baltimore, MD</v>
          </cell>
          <cell r="C301">
            <v>0.2205</v>
          </cell>
        </row>
        <row r="302">
          <cell r="A302">
            <v>24005491300</v>
          </cell>
          <cell r="B302" t="str">
            <v>Baltimore, MD</v>
          </cell>
          <cell r="C302">
            <v>0.2175</v>
          </cell>
        </row>
        <row r="303">
          <cell r="A303">
            <v>24003750804</v>
          </cell>
          <cell r="B303" t="str">
            <v>Glen Burnie, MD</v>
          </cell>
          <cell r="C303">
            <v>0.21340000000000001</v>
          </cell>
        </row>
        <row r="304">
          <cell r="A304">
            <v>24005411308</v>
          </cell>
          <cell r="B304" t="str">
            <v>Nottingham, MD</v>
          </cell>
          <cell r="C304">
            <v>0.21279999999999999</v>
          </cell>
        </row>
        <row r="305">
          <cell r="A305">
            <v>24005490800</v>
          </cell>
          <cell r="B305" t="str">
            <v>Towson, MD</v>
          </cell>
          <cell r="C305">
            <v>0.2127</v>
          </cell>
        </row>
        <row r="306">
          <cell r="A306">
            <v>24510250206</v>
          </cell>
          <cell r="B306" t="str">
            <v>Morrell Park, Baltimore, MD</v>
          </cell>
          <cell r="C306">
            <v>0.21210000000000001</v>
          </cell>
        </row>
        <row r="307">
          <cell r="A307">
            <v>24005490500</v>
          </cell>
          <cell r="B307" t="str">
            <v>Towson, MD</v>
          </cell>
          <cell r="C307">
            <v>0.2051</v>
          </cell>
        </row>
        <row r="308">
          <cell r="A308">
            <v>24005411306</v>
          </cell>
          <cell r="B308" t="str">
            <v>Nottingham, MD</v>
          </cell>
          <cell r="C308">
            <v>0.1971</v>
          </cell>
        </row>
        <row r="309">
          <cell r="A309">
            <v>24005491100</v>
          </cell>
          <cell r="B309" t="str">
            <v>Baltimore, MD</v>
          </cell>
          <cell r="C309">
            <v>0.19089999999999999</v>
          </cell>
        </row>
        <row r="310">
          <cell r="A310">
            <v>24510270402</v>
          </cell>
          <cell r="B310" t="str">
            <v>Glenham-Belford, Baltimore, MD</v>
          </cell>
          <cell r="C310">
            <v>0.18809999999999999</v>
          </cell>
        </row>
        <row r="311">
          <cell r="A311">
            <v>24510120201</v>
          </cell>
          <cell r="B311" t="str">
            <v>Baltimore, MD</v>
          </cell>
          <cell r="C311">
            <v>0.18459999999999999</v>
          </cell>
        </row>
        <row r="312">
          <cell r="A312">
            <v>24027602600</v>
          </cell>
          <cell r="B312" t="str">
            <v>Ellicott City, MD</v>
          </cell>
          <cell r="C312">
            <v>0.18290000000000001</v>
          </cell>
        </row>
        <row r="313">
          <cell r="A313">
            <v>24003730100</v>
          </cell>
          <cell r="B313" t="str">
            <v>Chestnut Hill Cove, Riviera Beach, MD</v>
          </cell>
          <cell r="C313">
            <v>0.18229999999999999</v>
          </cell>
        </row>
        <row r="314">
          <cell r="A314">
            <v>24005402202</v>
          </cell>
          <cell r="B314" t="str">
            <v>Baltimore County, MD</v>
          </cell>
          <cell r="C314">
            <v>0.18179999999999999</v>
          </cell>
        </row>
        <row r="315">
          <cell r="A315">
            <v>24005401504</v>
          </cell>
          <cell r="B315" t="str">
            <v>Catonsville, MD</v>
          </cell>
          <cell r="C315">
            <v>0.1799</v>
          </cell>
        </row>
        <row r="316">
          <cell r="A316">
            <v>24005403401</v>
          </cell>
          <cell r="B316" t="str">
            <v>Pikesville, MD</v>
          </cell>
          <cell r="C316">
            <v>0.17860000000000001</v>
          </cell>
        </row>
        <row r="317">
          <cell r="A317">
            <v>24005430400</v>
          </cell>
          <cell r="B317" t="str">
            <v>Halethorpe, MD</v>
          </cell>
          <cell r="C317">
            <v>0.17699999999999999</v>
          </cell>
        </row>
        <row r="318">
          <cell r="A318">
            <v>24003751200</v>
          </cell>
          <cell r="B318" t="str">
            <v>Linthicum Heights, MD</v>
          </cell>
          <cell r="C318">
            <v>0.1714</v>
          </cell>
        </row>
        <row r="319">
          <cell r="A319">
            <v>24005451000</v>
          </cell>
          <cell r="B319" t="str">
            <v>Essex, MD</v>
          </cell>
          <cell r="C319">
            <v>0.17069999999999999</v>
          </cell>
        </row>
        <row r="320">
          <cell r="A320">
            <v>24003750300</v>
          </cell>
          <cell r="B320" t="str">
            <v>Linthicum Heights, MD</v>
          </cell>
          <cell r="C320">
            <v>0.1694</v>
          </cell>
        </row>
        <row r="321">
          <cell r="A321">
            <v>24027606706</v>
          </cell>
          <cell r="B321" t="str">
            <v>Kendall Ridge, Columbia, MD</v>
          </cell>
          <cell r="C321">
            <v>0.16930000000000001</v>
          </cell>
        </row>
        <row r="322">
          <cell r="A322">
            <v>24003750203</v>
          </cell>
          <cell r="B322" t="str">
            <v>Baltimore, MD</v>
          </cell>
          <cell r="C322">
            <v>0.16869999999999999</v>
          </cell>
        </row>
        <row r="323">
          <cell r="A323">
            <v>24005430700</v>
          </cell>
          <cell r="B323" t="str">
            <v>Halethorpe, MD</v>
          </cell>
          <cell r="C323">
            <v>0.16250000000000001</v>
          </cell>
        </row>
        <row r="324">
          <cell r="A324">
            <v>24510010200</v>
          </cell>
          <cell r="B324" t="str">
            <v>Patterson Park, Baltimore, MD</v>
          </cell>
          <cell r="C324">
            <v>0.15870000000000001</v>
          </cell>
        </row>
        <row r="325">
          <cell r="A325">
            <v>24005403602</v>
          </cell>
          <cell r="B325" t="str">
            <v>Baltimore, MD</v>
          </cell>
          <cell r="C325">
            <v>0.15720000000000001</v>
          </cell>
        </row>
        <row r="326">
          <cell r="A326">
            <v>24510272004</v>
          </cell>
          <cell r="B326" t="str">
            <v>Cheswolde, Baltimore, MD</v>
          </cell>
          <cell r="C326">
            <v>0.15409999999999999</v>
          </cell>
        </row>
        <row r="327">
          <cell r="A327">
            <v>24510270501</v>
          </cell>
          <cell r="B327" t="str">
            <v>Woodring, Baltimore, MD</v>
          </cell>
          <cell r="C327">
            <v>0.14630000000000001</v>
          </cell>
        </row>
        <row r="328">
          <cell r="A328">
            <v>24027601105</v>
          </cell>
          <cell r="B328" t="str">
            <v>Ellicott City, MD</v>
          </cell>
          <cell r="C328">
            <v>0.1462</v>
          </cell>
        </row>
        <row r="329">
          <cell r="A329">
            <v>24003750202</v>
          </cell>
          <cell r="B329" t="str">
            <v>Brooklyn Park, MD</v>
          </cell>
          <cell r="C329">
            <v>0.14460000000000001</v>
          </cell>
        </row>
        <row r="330">
          <cell r="A330">
            <v>24510271501</v>
          </cell>
          <cell r="B330" t="str">
            <v>Mount Washington, Baltimore, MD</v>
          </cell>
          <cell r="C330">
            <v>0.1426</v>
          </cell>
        </row>
        <row r="331">
          <cell r="A331">
            <v>24005411408</v>
          </cell>
          <cell r="B331" t="str">
            <v>Nottingham, MD</v>
          </cell>
          <cell r="C331">
            <v>0.14050000000000001</v>
          </cell>
        </row>
        <row r="332">
          <cell r="A332">
            <v>24510230300</v>
          </cell>
          <cell r="B332" t="str">
            <v>South Baltimore, Baltimore, MD</v>
          </cell>
          <cell r="C332">
            <v>0.13639999999999999</v>
          </cell>
        </row>
        <row r="333">
          <cell r="A333">
            <v>24005403601</v>
          </cell>
          <cell r="B333" t="str">
            <v>Baltimore, MD</v>
          </cell>
          <cell r="C333">
            <v>0.13350000000000001</v>
          </cell>
        </row>
        <row r="334">
          <cell r="A334">
            <v>24005401503</v>
          </cell>
          <cell r="B334" t="str">
            <v>Catonsville, MD</v>
          </cell>
          <cell r="C334">
            <v>0.12759999999999999</v>
          </cell>
        </row>
        <row r="335">
          <cell r="A335">
            <v>24510240100</v>
          </cell>
          <cell r="B335" t="str">
            <v>Locust Point, Baltimore, MD</v>
          </cell>
          <cell r="C335">
            <v>0.12709999999999999</v>
          </cell>
        </row>
        <row r="336">
          <cell r="A336">
            <v>24005490603</v>
          </cell>
          <cell r="B336" t="str">
            <v>Baltimore, MD</v>
          </cell>
          <cell r="C336">
            <v>0.125</v>
          </cell>
        </row>
        <row r="337">
          <cell r="A337">
            <v>24510272005</v>
          </cell>
          <cell r="B337" t="str">
            <v>Cross Country, Baltimore, MD</v>
          </cell>
          <cell r="C337">
            <v>0.125</v>
          </cell>
        </row>
        <row r="338">
          <cell r="A338">
            <v>24005440500</v>
          </cell>
          <cell r="B338" t="str">
            <v>Nottingham, MD</v>
          </cell>
          <cell r="C338">
            <v>0.1235</v>
          </cell>
        </row>
        <row r="339">
          <cell r="A339">
            <v>24005400100</v>
          </cell>
          <cell r="B339" t="str">
            <v>Catonsville, MD</v>
          </cell>
          <cell r="C339">
            <v>0.1217</v>
          </cell>
        </row>
        <row r="340">
          <cell r="A340">
            <v>24005402603</v>
          </cell>
          <cell r="B340" t="str">
            <v>Randallstown, MD</v>
          </cell>
          <cell r="C340">
            <v>0.1179</v>
          </cell>
        </row>
        <row r="341">
          <cell r="A341">
            <v>24005452400</v>
          </cell>
          <cell r="B341" t="str">
            <v>Dundalk, MD</v>
          </cell>
          <cell r="C341">
            <v>0.11509999999999999</v>
          </cell>
        </row>
        <row r="342">
          <cell r="A342">
            <v>24510261100</v>
          </cell>
          <cell r="B342" t="str">
            <v>Canton, Baltimore, MD</v>
          </cell>
          <cell r="C342">
            <v>0.1079</v>
          </cell>
        </row>
        <row r="343">
          <cell r="A343">
            <v>24005401505</v>
          </cell>
          <cell r="B343" t="str">
            <v>Catonsville, MD</v>
          </cell>
          <cell r="C343">
            <v>0.1056</v>
          </cell>
        </row>
        <row r="344">
          <cell r="A344">
            <v>24005420100</v>
          </cell>
          <cell r="B344" t="str">
            <v>Dundalk, MD</v>
          </cell>
          <cell r="C344">
            <v>0.1007</v>
          </cell>
        </row>
        <row r="345">
          <cell r="A345">
            <v>24027602700</v>
          </cell>
          <cell r="B345" t="str">
            <v>Taylor Village, Ellicott City, MD</v>
          </cell>
          <cell r="C345">
            <v>0.10050000000000001</v>
          </cell>
        </row>
        <row r="346">
          <cell r="A346">
            <v>24510271200</v>
          </cell>
          <cell r="B346" t="str">
            <v>Homeland, Baltimore, MD</v>
          </cell>
          <cell r="C346">
            <v>9.8900000000000002E-2</v>
          </cell>
        </row>
        <row r="347">
          <cell r="A347">
            <v>24510271300</v>
          </cell>
          <cell r="B347" t="str">
            <v>Roland Park, Baltimore, MD</v>
          </cell>
          <cell r="C347">
            <v>9.7900000000000001E-2</v>
          </cell>
        </row>
        <row r="348">
          <cell r="A348">
            <v>24027602800</v>
          </cell>
          <cell r="B348" t="str">
            <v>Ellicott City, MD</v>
          </cell>
          <cell r="C348">
            <v>9.5200000000000007E-2</v>
          </cell>
        </row>
        <row r="349">
          <cell r="A349">
            <v>24027601103</v>
          </cell>
          <cell r="B349" t="str">
            <v>West Elkridge, Elkridge, MD</v>
          </cell>
          <cell r="C349">
            <v>9.4399999999999998E-2</v>
          </cell>
        </row>
        <row r="350">
          <cell r="A350">
            <v>24510240400</v>
          </cell>
          <cell r="B350" t="str">
            <v>Riverside Park, Baltimore, MD</v>
          </cell>
          <cell r="C350">
            <v>8.6800000000000002E-2</v>
          </cell>
        </row>
        <row r="351">
          <cell r="A351">
            <v>24510010300</v>
          </cell>
          <cell r="B351" t="str">
            <v>Canton, Baltimore, MD</v>
          </cell>
          <cell r="C351">
            <v>8.6400000000000005E-2</v>
          </cell>
        </row>
        <row r="352">
          <cell r="A352">
            <v>24005400500</v>
          </cell>
          <cell r="B352" t="str">
            <v>Catonsville, MD</v>
          </cell>
          <cell r="C352">
            <v>8.5999999999999993E-2</v>
          </cell>
        </row>
        <row r="353">
          <cell r="A353">
            <v>24510240200</v>
          </cell>
          <cell r="B353" t="str">
            <v>Riverside, Baltimore, MD</v>
          </cell>
          <cell r="C353">
            <v>8.5900000000000004E-2</v>
          </cell>
        </row>
        <row r="354">
          <cell r="A354">
            <v>24005490400</v>
          </cell>
          <cell r="B354" t="str">
            <v>Towson, MD</v>
          </cell>
          <cell r="C354">
            <v>8.3799999999999999E-2</v>
          </cell>
        </row>
        <row r="355">
          <cell r="A355">
            <v>24005491000</v>
          </cell>
          <cell r="B355" t="str">
            <v>Baltimore, MD</v>
          </cell>
          <cell r="C355">
            <v>8.14E-2</v>
          </cell>
        </row>
        <row r="356">
          <cell r="A356">
            <v>24005451200</v>
          </cell>
          <cell r="B356" t="str">
            <v>Middle River, MD</v>
          </cell>
          <cell r="C356">
            <v>7.4700000000000003E-2</v>
          </cell>
        </row>
        <row r="357">
          <cell r="A357">
            <v>24027601104</v>
          </cell>
          <cell r="B357" t="str">
            <v>Ellicott City, MD</v>
          </cell>
          <cell r="C357">
            <v>7.3200000000000001E-2</v>
          </cell>
        </row>
        <row r="358">
          <cell r="A358">
            <v>24510271102</v>
          </cell>
          <cell r="B358" t="str">
            <v>Mid-Charles, Baltimore, MD</v>
          </cell>
          <cell r="C358">
            <v>7.2400000000000006E-2</v>
          </cell>
        </row>
        <row r="359">
          <cell r="A359">
            <v>24510270703</v>
          </cell>
          <cell r="B359" t="str">
            <v>North Harford Road, Baltimore, MD</v>
          </cell>
          <cell r="C359">
            <v>7.0699999999999999E-2</v>
          </cell>
        </row>
        <row r="360">
          <cell r="A360">
            <v>24027602100</v>
          </cell>
          <cell r="B360" t="str">
            <v>Ellicott City, MD</v>
          </cell>
          <cell r="C360">
            <v>6.93E-2</v>
          </cell>
        </row>
        <row r="361">
          <cell r="A361">
            <v>24005400400</v>
          </cell>
          <cell r="B361" t="str">
            <v>Catonsville, MD</v>
          </cell>
          <cell r="C361">
            <v>6.7000000000000004E-2</v>
          </cell>
        </row>
        <row r="362">
          <cell r="A362">
            <v>24005411302</v>
          </cell>
          <cell r="B362" t="str">
            <v>White Marsh, MD</v>
          </cell>
          <cell r="C362">
            <v>5.0700000000000002E-2</v>
          </cell>
        </row>
        <row r="363">
          <cell r="A363">
            <v>24510130700</v>
          </cell>
          <cell r="B363" t="str">
            <v>Hampden, Baltimore, MD</v>
          </cell>
          <cell r="C363">
            <v>3.4599999999999999E-2</v>
          </cell>
        </row>
        <row r="364">
          <cell r="A364">
            <v>24005403500</v>
          </cell>
          <cell r="B364" t="str">
            <v>Pikesville, MD</v>
          </cell>
          <cell r="C364">
            <v>3.2199999999999999E-2</v>
          </cell>
        </row>
        <row r="365">
          <cell r="A365">
            <v>24510230200</v>
          </cell>
          <cell r="B365" t="str">
            <v>South Baltimore, Baltimore, MD</v>
          </cell>
          <cell r="C365">
            <v>0</v>
          </cell>
        </row>
        <row r="366">
          <cell r="A366">
            <v>24510120202</v>
          </cell>
          <cell r="B366" t="str">
            <v>Baltimore, MD</v>
          </cell>
          <cell r="C366">
            <v>0</v>
          </cell>
        </row>
        <row r="367">
          <cell r="A367">
            <v>24510140100</v>
          </cell>
          <cell r="B367" t="str">
            <v>Bolton Hill, Baltimore, MD</v>
          </cell>
          <cell r="C367">
            <v>0</v>
          </cell>
        </row>
        <row r="368">
          <cell r="A368">
            <v>24510240300</v>
          </cell>
          <cell r="B368" t="str">
            <v>Riverside, Baltimore, MD</v>
          </cell>
          <cell r="C368">
            <v>0</v>
          </cell>
        </row>
        <row r="369">
          <cell r="A369">
            <v>24510040100</v>
          </cell>
          <cell r="B369" t="str">
            <v>Downtown, Baltimore, MD</v>
          </cell>
          <cell r="C369">
            <v>0</v>
          </cell>
        </row>
        <row r="370">
          <cell r="A370">
            <v>24510010400</v>
          </cell>
          <cell r="B370" t="str">
            <v>Canton, Baltimore, MD</v>
          </cell>
          <cell r="C370">
            <v>0</v>
          </cell>
        </row>
        <row r="371">
          <cell r="A371">
            <v>24510040200</v>
          </cell>
          <cell r="B371" t="str">
            <v>Downtown, Baltimore, MD</v>
          </cell>
          <cell r="C371">
            <v>0</v>
          </cell>
        </row>
        <row r="372">
          <cell r="A372">
            <v>24510110200</v>
          </cell>
          <cell r="B372" t="str">
            <v>Downtown, Baltimore, MD</v>
          </cell>
          <cell r="C372">
            <v>0</v>
          </cell>
        </row>
        <row r="373">
          <cell r="A373">
            <v>24005492500</v>
          </cell>
          <cell r="B373" t="str">
            <v>Baltimore, MD</v>
          </cell>
        </row>
        <row r="374">
          <cell r="A374">
            <v>24005490605</v>
          </cell>
          <cell r="B374" t="str">
            <v>Towson, MD</v>
          </cell>
        </row>
        <row r="375">
          <cell r="A375">
            <v>24510250600</v>
          </cell>
          <cell r="B375" t="str">
            <v>Brooklyn, Baltimore, MD</v>
          </cell>
        </row>
        <row r="376">
          <cell r="A376">
            <v>24005980200</v>
          </cell>
          <cell r="B376" t="str">
            <v>Lansdowne - Baltimore Highlands, Halethorpe, MD</v>
          </cell>
        </row>
        <row r="377">
          <cell r="A377">
            <v>24510100300</v>
          </cell>
          <cell r="B377" t="str">
            <v>Penn - Fallsway, Baltimore, MD</v>
          </cell>
        </row>
        <row r="378">
          <cell r="A378">
            <v>24003980000</v>
          </cell>
          <cell r="B378" t="str">
            <v>Linthicum Heights, MD</v>
          </cell>
        </row>
      </sheetData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274"/>
  <sheetViews>
    <sheetView workbookViewId="0">
      <selection activeCell="L9" sqref="L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140</v>
      </c>
      <c r="D1" t="s">
        <v>144</v>
      </c>
      <c r="E1" t="s">
        <v>141</v>
      </c>
      <c r="F1" t="s">
        <v>142</v>
      </c>
      <c r="G1" t="s">
        <v>143</v>
      </c>
      <c r="H1" t="s">
        <v>145</v>
      </c>
    </row>
    <row r="2" spans="1:8" x14ac:dyDescent="0.2">
      <c r="A2">
        <v>24510010200</v>
      </c>
      <c r="B2" t="s">
        <v>39</v>
      </c>
      <c r="C2">
        <v>31108</v>
      </c>
      <c r="D2">
        <v>0.1062</v>
      </c>
      <c r="E2">
        <v>0.29249999999999998</v>
      </c>
      <c r="F2">
        <v>0.26679999999999998</v>
      </c>
      <c r="G2">
        <v>1690</v>
      </c>
      <c r="H2">
        <v>0.15870000000000001</v>
      </c>
    </row>
    <row r="3" spans="1:8" x14ac:dyDescent="0.2">
      <c r="A3">
        <v>24510010300</v>
      </c>
      <c r="B3" t="s">
        <v>17</v>
      </c>
      <c r="C3">
        <v>33660</v>
      </c>
      <c r="D3">
        <v>6.0100000000000001E-2</v>
      </c>
      <c r="E3">
        <v>0.27779999999999999</v>
      </c>
      <c r="F3">
        <v>0.2626</v>
      </c>
      <c r="G3">
        <v>1897</v>
      </c>
      <c r="H3">
        <v>8.6400000000000005E-2</v>
      </c>
    </row>
    <row r="4" spans="1:8" x14ac:dyDescent="0.2">
      <c r="A4">
        <v>24510010500</v>
      </c>
      <c r="B4" t="s">
        <v>31</v>
      </c>
      <c r="C4">
        <v>33161</v>
      </c>
      <c r="D4">
        <v>7.8200000000000006E-2</v>
      </c>
      <c r="E4">
        <v>0.31869999999999998</v>
      </c>
      <c r="F4">
        <v>0.30959999999999999</v>
      </c>
      <c r="G4">
        <v>1492</v>
      </c>
      <c r="H4">
        <v>0.29730000000000001</v>
      </c>
    </row>
    <row r="5" spans="1:8" x14ac:dyDescent="0.2">
      <c r="A5">
        <v>24510020100</v>
      </c>
      <c r="B5" t="s">
        <v>31</v>
      </c>
      <c r="C5">
        <v>29083</v>
      </c>
      <c r="D5">
        <v>0.1002</v>
      </c>
      <c r="E5">
        <v>0.29980000000000001</v>
      </c>
      <c r="F5">
        <v>0.26319999999999999</v>
      </c>
      <c r="G5">
        <v>1259</v>
      </c>
      <c r="H5">
        <v>0.42220000000000002</v>
      </c>
    </row>
    <row r="6" spans="1:8" x14ac:dyDescent="0.2">
      <c r="A6">
        <v>24510020200</v>
      </c>
      <c r="B6" t="s">
        <v>31</v>
      </c>
      <c r="C6">
        <v>31059</v>
      </c>
      <c r="D6">
        <v>0.15179999999999999</v>
      </c>
      <c r="E6">
        <v>0.3004</v>
      </c>
      <c r="F6">
        <v>0.32740000000000002</v>
      </c>
      <c r="G6">
        <v>1138</v>
      </c>
      <c r="H6">
        <v>0.47789999999999999</v>
      </c>
    </row>
    <row r="7" spans="1:8" x14ac:dyDescent="0.2">
      <c r="A7">
        <v>24510030100</v>
      </c>
      <c r="B7" t="s">
        <v>99</v>
      </c>
      <c r="C7">
        <v>19867</v>
      </c>
      <c r="D7">
        <v>0.41899999999999998</v>
      </c>
      <c r="E7">
        <v>0.57430000000000003</v>
      </c>
      <c r="F7">
        <v>0.1399</v>
      </c>
      <c r="G7">
        <v>428</v>
      </c>
      <c r="H7">
        <v>0.92120000000000002</v>
      </c>
    </row>
    <row r="8" spans="1:8" x14ac:dyDescent="0.2">
      <c r="A8">
        <v>24510030200</v>
      </c>
      <c r="B8" t="s">
        <v>50</v>
      </c>
      <c r="C8">
        <v>27607</v>
      </c>
      <c r="D8">
        <v>0.21890000000000001</v>
      </c>
      <c r="E8">
        <v>0.4733</v>
      </c>
      <c r="F8">
        <v>0.1641</v>
      </c>
      <c r="G8">
        <v>1850</v>
      </c>
      <c r="H8">
        <v>0.5635</v>
      </c>
    </row>
    <row r="9" spans="1:8" x14ac:dyDescent="0.2">
      <c r="A9">
        <v>24510040100</v>
      </c>
      <c r="B9" t="s">
        <v>32</v>
      </c>
      <c r="C9">
        <v>33047</v>
      </c>
      <c r="D9">
        <v>0.26579999999999998</v>
      </c>
      <c r="E9">
        <v>0.31440000000000001</v>
      </c>
      <c r="F9">
        <v>0.26729999999999998</v>
      </c>
      <c r="G9">
        <v>1445</v>
      </c>
      <c r="H9">
        <v>0</v>
      </c>
    </row>
    <row r="10" spans="1:8" x14ac:dyDescent="0.2">
      <c r="A10">
        <v>24510040200</v>
      </c>
      <c r="B10" t="s">
        <v>32</v>
      </c>
      <c r="C10">
        <v>21579</v>
      </c>
      <c r="D10">
        <v>0.29599999999999999</v>
      </c>
      <c r="E10">
        <v>0.4869</v>
      </c>
      <c r="F10">
        <v>0.14729999999999999</v>
      </c>
      <c r="G10">
        <v>1217</v>
      </c>
      <c r="H10">
        <v>0</v>
      </c>
    </row>
    <row r="11" spans="1:8" x14ac:dyDescent="0.2">
      <c r="A11">
        <v>24510060100</v>
      </c>
      <c r="B11" t="s">
        <v>39</v>
      </c>
      <c r="C11">
        <v>19473</v>
      </c>
      <c r="D11">
        <v>0.32679999999999998</v>
      </c>
      <c r="E11">
        <v>0.51639999999999997</v>
      </c>
      <c r="F11">
        <v>0.13830000000000001</v>
      </c>
      <c r="G11">
        <v>1218</v>
      </c>
      <c r="H11">
        <v>0.78680000000000005</v>
      </c>
    </row>
    <row r="12" spans="1:8" x14ac:dyDescent="0.2">
      <c r="A12">
        <v>24510060200</v>
      </c>
      <c r="B12" t="s">
        <v>9</v>
      </c>
      <c r="C12">
        <v>24081</v>
      </c>
      <c r="D12">
        <v>0.23710000000000001</v>
      </c>
      <c r="E12">
        <v>0.51239999999999997</v>
      </c>
      <c r="F12">
        <v>0.1464</v>
      </c>
      <c r="G12">
        <v>1371</v>
      </c>
      <c r="H12">
        <v>0.40839999999999999</v>
      </c>
    </row>
    <row r="13" spans="1:8" x14ac:dyDescent="0.2">
      <c r="A13">
        <v>24510060300</v>
      </c>
      <c r="B13" t="s">
        <v>91</v>
      </c>
      <c r="C13">
        <v>20803</v>
      </c>
      <c r="D13">
        <v>0.22600000000000001</v>
      </c>
      <c r="E13">
        <v>0.5857</v>
      </c>
      <c r="F13">
        <v>0.14599999999999999</v>
      </c>
      <c r="G13">
        <v>1419</v>
      </c>
      <c r="H13">
        <v>0.64229999999999998</v>
      </c>
    </row>
    <row r="14" spans="1:8" x14ac:dyDescent="0.2">
      <c r="A14">
        <v>24510060400</v>
      </c>
      <c r="B14" t="s">
        <v>9</v>
      </c>
      <c r="C14">
        <v>20617</v>
      </c>
      <c r="D14">
        <v>0.22159999999999999</v>
      </c>
      <c r="E14">
        <v>0.49109999999999998</v>
      </c>
      <c r="F14">
        <v>6.7799999999999999E-2</v>
      </c>
      <c r="G14">
        <v>760</v>
      </c>
      <c r="H14">
        <v>0.5</v>
      </c>
    </row>
    <row r="15" spans="1:8" x14ac:dyDescent="0.2">
      <c r="A15">
        <v>24510070100</v>
      </c>
      <c r="B15" t="s">
        <v>9</v>
      </c>
      <c r="C15">
        <v>23304</v>
      </c>
      <c r="D15">
        <v>0.35880000000000001</v>
      </c>
      <c r="E15">
        <v>0.4677</v>
      </c>
      <c r="F15">
        <v>0.13370000000000001</v>
      </c>
      <c r="G15">
        <v>1122</v>
      </c>
      <c r="H15">
        <v>0.84870000000000001</v>
      </c>
    </row>
    <row r="16" spans="1:8" x14ac:dyDescent="0.2">
      <c r="A16">
        <v>24510070200</v>
      </c>
      <c r="B16" t="s">
        <v>98</v>
      </c>
      <c r="C16">
        <v>19977</v>
      </c>
      <c r="D16">
        <v>0.43669999999999998</v>
      </c>
      <c r="E16">
        <v>0.55449999999999999</v>
      </c>
      <c r="F16">
        <v>8.6999999999999994E-2</v>
      </c>
      <c r="G16">
        <v>1041</v>
      </c>
      <c r="H16">
        <v>0.87849999999999995</v>
      </c>
    </row>
    <row r="17" spans="1:8" x14ac:dyDescent="0.2">
      <c r="A17">
        <v>24510070300</v>
      </c>
      <c r="B17" t="s">
        <v>114</v>
      </c>
      <c r="C17">
        <v>17213</v>
      </c>
      <c r="D17">
        <v>0.53800000000000003</v>
      </c>
      <c r="E17">
        <v>0.54910000000000003</v>
      </c>
      <c r="F17">
        <v>6.2199999999999998E-2</v>
      </c>
      <c r="G17">
        <v>830</v>
      </c>
      <c r="H17">
        <v>0.54079999999999995</v>
      </c>
    </row>
    <row r="18" spans="1:8" x14ac:dyDescent="0.2">
      <c r="A18">
        <v>24510070400</v>
      </c>
      <c r="B18" t="s">
        <v>104</v>
      </c>
      <c r="C18">
        <v>19477</v>
      </c>
      <c r="D18">
        <v>0.4743</v>
      </c>
      <c r="E18">
        <v>0.56440000000000001</v>
      </c>
      <c r="F18">
        <v>8.8400000000000006E-2</v>
      </c>
      <c r="G18">
        <v>894</v>
      </c>
      <c r="H18">
        <v>0.80620000000000003</v>
      </c>
    </row>
    <row r="19" spans="1:8" x14ac:dyDescent="0.2">
      <c r="A19">
        <v>24510080101</v>
      </c>
      <c r="B19" t="s">
        <v>36</v>
      </c>
      <c r="C19">
        <v>31912</v>
      </c>
      <c r="D19">
        <v>0.1469</v>
      </c>
      <c r="E19">
        <v>0.38290000000000002</v>
      </c>
      <c r="F19">
        <v>0.22389999999999999</v>
      </c>
      <c r="G19">
        <v>1173</v>
      </c>
      <c r="H19">
        <v>0.65100000000000002</v>
      </c>
    </row>
    <row r="20" spans="1:8" x14ac:dyDescent="0.2">
      <c r="A20">
        <v>24510080102</v>
      </c>
      <c r="B20" t="s">
        <v>36</v>
      </c>
      <c r="C20">
        <v>21607</v>
      </c>
      <c r="D20">
        <v>0.27810000000000001</v>
      </c>
      <c r="E20">
        <v>0.55479999999999996</v>
      </c>
      <c r="F20">
        <v>7.8899999999999998E-2</v>
      </c>
      <c r="G20">
        <v>1165</v>
      </c>
      <c r="H20">
        <v>0.71199999999999997</v>
      </c>
    </row>
    <row r="21" spans="1:8" x14ac:dyDescent="0.2">
      <c r="A21">
        <v>24510080200</v>
      </c>
      <c r="B21" t="s">
        <v>92</v>
      </c>
      <c r="C21">
        <v>19122</v>
      </c>
      <c r="D21">
        <v>0.24329999999999999</v>
      </c>
      <c r="E21">
        <v>0.60189999999999999</v>
      </c>
      <c r="F21">
        <v>8.3199999999999996E-2</v>
      </c>
      <c r="G21">
        <v>597</v>
      </c>
      <c r="H21">
        <v>0.60470000000000002</v>
      </c>
    </row>
    <row r="22" spans="1:8" x14ac:dyDescent="0.2">
      <c r="A22">
        <v>24510080301</v>
      </c>
      <c r="B22" t="s">
        <v>82</v>
      </c>
      <c r="C22">
        <v>19744</v>
      </c>
      <c r="D22">
        <v>0.23039999999999999</v>
      </c>
      <c r="E22">
        <v>0.5323</v>
      </c>
      <c r="F22">
        <v>7.6399999999999996E-2</v>
      </c>
      <c r="G22">
        <v>1099</v>
      </c>
      <c r="H22">
        <v>0.93279999999999996</v>
      </c>
    </row>
    <row r="23" spans="1:8" x14ac:dyDescent="0.2">
      <c r="A23">
        <v>24510080302</v>
      </c>
      <c r="B23" t="s">
        <v>82</v>
      </c>
      <c r="C23">
        <v>21714</v>
      </c>
      <c r="D23">
        <v>0.32200000000000001</v>
      </c>
      <c r="E23">
        <v>0.54790000000000005</v>
      </c>
      <c r="F23">
        <v>8.3000000000000004E-2</v>
      </c>
      <c r="G23">
        <v>834</v>
      </c>
      <c r="H23">
        <v>0.68640000000000001</v>
      </c>
    </row>
    <row r="24" spans="1:8" x14ac:dyDescent="0.2">
      <c r="A24">
        <v>24510080400</v>
      </c>
      <c r="B24" t="s">
        <v>92</v>
      </c>
      <c r="C24">
        <v>20089</v>
      </c>
      <c r="D24">
        <v>0.51190000000000002</v>
      </c>
      <c r="E24">
        <v>0.53949999999999998</v>
      </c>
      <c r="F24">
        <v>7.2900000000000006E-2</v>
      </c>
      <c r="G24">
        <v>755</v>
      </c>
      <c r="H24">
        <v>0.76529999999999998</v>
      </c>
    </row>
    <row r="25" spans="1:8" x14ac:dyDescent="0.2">
      <c r="A25">
        <v>24510080500</v>
      </c>
      <c r="B25" t="s">
        <v>71</v>
      </c>
      <c r="C25">
        <v>23070</v>
      </c>
      <c r="D25">
        <v>0.3266</v>
      </c>
      <c r="E25">
        <v>0.55479999999999996</v>
      </c>
      <c r="F25">
        <v>0.13059999999999999</v>
      </c>
      <c r="G25">
        <v>1090</v>
      </c>
      <c r="H25">
        <v>0.84140000000000004</v>
      </c>
    </row>
    <row r="26" spans="1:8" x14ac:dyDescent="0.2">
      <c r="A26">
        <v>24510080600</v>
      </c>
      <c r="B26" t="s">
        <v>92</v>
      </c>
      <c r="C26">
        <v>20471</v>
      </c>
      <c r="D26">
        <v>0.28620000000000001</v>
      </c>
      <c r="E26">
        <v>0.57669999999999999</v>
      </c>
      <c r="F26">
        <v>5.62E-2</v>
      </c>
      <c r="G26">
        <v>1029</v>
      </c>
      <c r="H26">
        <v>0.9385</v>
      </c>
    </row>
    <row r="27" spans="1:8" x14ac:dyDescent="0.2">
      <c r="A27">
        <v>24510080700</v>
      </c>
      <c r="B27" t="s">
        <v>92</v>
      </c>
      <c r="C27">
        <v>19370</v>
      </c>
      <c r="D27">
        <v>0.2873</v>
      </c>
      <c r="E27">
        <v>0.56299999999999994</v>
      </c>
      <c r="F27">
        <v>8.3599999999999994E-2</v>
      </c>
      <c r="G27">
        <v>1038</v>
      </c>
      <c r="H27">
        <v>1</v>
      </c>
    </row>
    <row r="28" spans="1:8" x14ac:dyDescent="0.2">
      <c r="A28">
        <v>24510080800</v>
      </c>
      <c r="B28" t="s">
        <v>92</v>
      </c>
      <c r="C28">
        <v>17386</v>
      </c>
      <c r="D28">
        <v>0.49280000000000002</v>
      </c>
      <c r="E28">
        <v>0.58779999999999999</v>
      </c>
      <c r="F28">
        <v>6.6900000000000001E-2</v>
      </c>
      <c r="G28">
        <v>906</v>
      </c>
      <c r="H28">
        <v>0.97009999999999996</v>
      </c>
    </row>
    <row r="29" spans="1:8" x14ac:dyDescent="0.2">
      <c r="A29">
        <v>24510090100</v>
      </c>
      <c r="B29" t="s">
        <v>37</v>
      </c>
      <c r="C29">
        <v>24827</v>
      </c>
      <c r="D29">
        <v>0.2059</v>
      </c>
      <c r="E29">
        <v>0.45689999999999997</v>
      </c>
      <c r="F29">
        <v>0.11990000000000001</v>
      </c>
      <c r="G29">
        <v>897</v>
      </c>
      <c r="H29">
        <v>0.4728</v>
      </c>
    </row>
    <row r="30" spans="1:8" x14ac:dyDescent="0.2">
      <c r="A30">
        <v>24510090200</v>
      </c>
      <c r="B30" t="s">
        <v>37</v>
      </c>
      <c r="C30">
        <v>31759</v>
      </c>
      <c r="D30">
        <v>0.1113</v>
      </c>
      <c r="E30">
        <v>0.3901</v>
      </c>
      <c r="F30">
        <v>0.1454</v>
      </c>
      <c r="G30">
        <v>1111</v>
      </c>
      <c r="H30">
        <v>0.44529999999999997</v>
      </c>
    </row>
    <row r="31" spans="1:8" x14ac:dyDescent="0.2">
      <c r="A31">
        <v>24510090300</v>
      </c>
      <c r="B31" t="s">
        <v>37</v>
      </c>
      <c r="C31">
        <v>28147</v>
      </c>
      <c r="D31">
        <v>0.23849999999999999</v>
      </c>
      <c r="E31">
        <v>0.36099999999999999</v>
      </c>
      <c r="F31">
        <v>0.17660000000000001</v>
      </c>
      <c r="G31">
        <v>769</v>
      </c>
      <c r="H31">
        <v>0.29930000000000001</v>
      </c>
    </row>
    <row r="32" spans="1:8" x14ac:dyDescent="0.2">
      <c r="A32">
        <v>24510090400</v>
      </c>
      <c r="B32" t="s">
        <v>63</v>
      </c>
      <c r="C32">
        <v>23006</v>
      </c>
      <c r="D32">
        <v>0.30480000000000002</v>
      </c>
      <c r="E32">
        <v>0.55549999999999999</v>
      </c>
      <c r="F32">
        <v>0.1055</v>
      </c>
      <c r="G32">
        <v>896</v>
      </c>
      <c r="H32">
        <v>0.78790000000000004</v>
      </c>
    </row>
    <row r="33" spans="1:8" x14ac:dyDescent="0.2">
      <c r="A33">
        <v>24510090500</v>
      </c>
      <c r="B33" t="s">
        <v>63</v>
      </c>
      <c r="C33">
        <v>24301</v>
      </c>
      <c r="D33">
        <v>0.16020000000000001</v>
      </c>
      <c r="E33">
        <v>0.50049999999999994</v>
      </c>
      <c r="F33">
        <v>0.1502</v>
      </c>
      <c r="G33">
        <v>1110</v>
      </c>
      <c r="H33">
        <v>0.63590000000000002</v>
      </c>
    </row>
    <row r="34" spans="1:8" x14ac:dyDescent="0.2">
      <c r="A34">
        <v>24510090600</v>
      </c>
      <c r="B34" t="s">
        <v>81</v>
      </c>
      <c r="C34">
        <v>21017</v>
      </c>
      <c r="D34">
        <v>0.17219999999999999</v>
      </c>
      <c r="E34">
        <v>0.47820000000000001</v>
      </c>
      <c r="F34">
        <v>8.9200000000000002E-2</v>
      </c>
      <c r="G34">
        <v>1268</v>
      </c>
      <c r="H34">
        <v>0.85140000000000005</v>
      </c>
    </row>
    <row r="35" spans="1:8" x14ac:dyDescent="0.2">
      <c r="A35">
        <v>24510090700</v>
      </c>
      <c r="B35" t="s">
        <v>81</v>
      </c>
      <c r="C35">
        <v>21938</v>
      </c>
      <c r="D35">
        <v>0.31290000000000001</v>
      </c>
      <c r="E35">
        <v>0.57530000000000003</v>
      </c>
      <c r="F35">
        <v>9.2899999999999996E-2</v>
      </c>
      <c r="G35">
        <v>982</v>
      </c>
      <c r="H35">
        <v>0.97789999999999999</v>
      </c>
    </row>
    <row r="36" spans="1:8" x14ac:dyDescent="0.2">
      <c r="A36">
        <v>24510090800</v>
      </c>
      <c r="B36" t="s">
        <v>102</v>
      </c>
      <c r="C36">
        <v>19724</v>
      </c>
      <c r="D36">
        <v>0.3669</v>
      </c>
      <c r="E36">
        <v>0.55169999999999997</v>
      </c>
      <c r="F36">
        <v>8.48E-2</v>
      </c>
      <c r="G36">
        <v>1132</v>
      </c>
      <c r="H36">
        <v>0.95630000000000004</v>
      </c>
    </row>
    <row r="37" spans="1:8" x14ac:dyDescent="0.2">
      <c r="A37">
        <v>24510090900</v>
      </c>
      <c r="B37" t="s">
        <v>106</v>
      </c>
      <c r="C37">
        <v>19381</v>
      </c>
      <c r="D37">
        <v>0.25890000000000002</v>
      </c>
      <c r="E37">
        <v>0.59709999999999996</v>
      </c>
      <c r="F37">
        <v>7.5399999999999995E-2</v>
      </c>
      <c r="G37">
        <v>728</v>
      </c>
      <c r="H37">
        <v>1</v>
      </c>
    </row>
    <row r="38" spans="1:8" x14ac:dyDescent="0.2">
      <c r="A38">
        <v>24510100100</v>
      </c>
      <c r="B38" t="s">
        <v>113</v>
      </c>
      <c r="C38">
        <v>17650</v>
      </c>
      <c r="D38">
        <v>0.42649999999999999</v>
      </c>
      <c r="E38">
        <v>0.54400000000000004</v>
      </c>
      <c r="F38">
        <v>2.9100000000000001E-2</v>
      </c>
      <c r="G38">
        <v>389</v>
      </c>
      <c r="H38">
        <v>0.71899999999999997</v>
      </c>
    </row>
    <row r="39" spans="1:8" x14ac:dyDescent="0.2">
      <c r="A39">
        <v>24510100200</v>
      </c>
      <c r="B39" t="s">
        <v>9</v>
      </c>
      <c r="C39">
        <v>18919</v>
      </c>
      <c r="D39">
        <v>0.43140000000000001</v>
      </c>
      <c r="E39">
        <v>0.62790000000000001</v>
      </c>
      <c r="F39">
        <v>8.2799999999999999E-2</v>
      </c>
      <c r="G39">
        <v>417</v>
      </c>
      <c r="H39">
        <v>0.97760000000000002</v>
      </c>
    </row>
    <row r="40" spans="1:8" x14ac:dyDescent="0.2">
      <c r="A40">
        <v>24510110100</v>
      </c>
      <c r="B40" t="s">
        <v>32</v>
      </c>
      <c r="C40">
        <v>23998</v>
      </c>
      <c r="D40">
        <v>0.2155</v>
      </c>
      <c r="E40">
        <v>0.34870000000000001</v>
      </c>
      <c r="F40">
        <v>0.1242</v>
      </c>
      <c r="G40">
        <v>1125</v>
      </c>
      <c r="H40">
        <v>1</v>
      </c>
    </row>
    <row r="41" spans="1:8" x14ac:dyDescent="0.2">
      <c r="A41">
        <v>24510110200</v>
      </c>
      <c r="B41" t="s">
        <v>32</v>
      </c>
      <c r="C41">
        <v>23225</v>
      </c>
      <c r="D41">
        <v>0.19209999999999999</v>
      </c>
      <c r="E41">
        <v>0.45379999999999998</v>
      </c>
      <c r="F41">
        <v>0.18340000000000001</v>
      </c>
      <c r="G41">
        <v>1045</v>
      </c>
      <c r="H41">
        <v>0</v>
      </c>
    </row>
    <row r="42" spans="1:8" x14ac:dyDescent="0.2">
      <c r="A42">
        <v>24510120100</v>
      </c>
      <c r="B42" t="s">
        <v>7</v>
      </c>
      <c r="C42">
        <v>60859</v>
      </c>
      <c r="D42">
        <v>0.1774</v>
      </c>
      <c r="E42">
        <v>1.66E-2</v>
      </c>
      <c r="F42">
        <v>0.47020000000000001</v>
      </c>
      <c r="G42">
        <v>1201</v>
      </c>
      <c r="H42">
        <v>0.2772</v>
      </c>
    </row>
    <row r="43" spans="1:8" x14ac:dyDescent="0.2">
      <c r="A43">
        <v>24510120201</v>
      </c>
      <c r="B43" t="s">
        <v>9</v>
      </c>
      <c r="C43">
        <v>38508</v>
      </c>
      <c r="D43">
        <v>0.21479999999999999</v>
      </c>
      <c r="E43">
        <v>0.29570000000000002</v>
      </c>
      <c r="F43">
        <v>0.45190000000000002</v>
      </c>
      <c r="G43">
        <v>1147</v>
      </c>
      <c r="H43">
        <v>0.18459999999999999</v>
      </c>
    </row>
    <row r="44" spans="1:8" x14ac:dyDescent="0.2">
      <c r="A44">
        <v>24510120202</v>
      </c>
      <c r="B44" t="s">
        <v>9</v>
      </c>
      <c r="C44">
        <v>53304</v>
      </c>
      <c r="D44">
        <v>0.36020000000000002</v>
      </c>
      <c r="E44">
        <v>8.8099999999999998E-2</v>
      </c>
      <c r="F44">
        <v>0.47349999999999998</v>
      </c>
      <c r="G44">
        <v>961</v>
      </c>
      <c r="H44">
        <v>0</v>
      </c>
    </row>
    <row r="45" spans="1:8" x14ac:dyDescent="0.2">
      <c r="A45">
        <v>24510120300</v>
      </c>
      <c r="B45" t="s">
        <v>77</v>
      </c>
      <c r="C45">
        <v>22463</v>
      </c>
      <c r="D45">
        <v>0.2949</v>
      </c>
      <c r="E45">
        <v>0.53239999999999998</v>
      </c>
      <c r="F45">
        <v>9.7799999999999998E-2</v>
      </c>
      <c r="G45">
        <v>1085</v>
      </c>
      <c r="H45">
        <v>0.60070000000000001</v>
      </c>
    </row>
    <row r="46" spans="1:8" x14ac:dyDescent="0.2">
      <c r="A46">
        <v>24510120400</v>
      </c>
      <c r="B46" t="s">
        <v>89</v>
      </c>
      <c r="C46">
        <v>21057</v>
      </c>
      <c r="D46">
        <v>0.42670000000000002</v>
      </c>
      <c r="E46">
        <v>0.62729999999999997</v>
      </c>
      <c r="F46">
        <v>7.2300000000000003E-2</v>
      </c>
      <c r="G46">
        <v>1020</v>
      </c>
      <c r="H46">
        <v>0.74419999999999997</v>
      </c>
    </row>
    <row r="47" spans="1:8" x14ac:dyDescent="0.2">
      <c r="A47">
        <v>24510120500</v>
      </c>
      <c r="B47" t="s">
        <v>88</v>
      </c>
      <c r="C47">
        <v>21169</v>
      </c>
      <c r="D47">
        <v>0.29530000000000001</v>
      </c>
      <c r="E47">
        <v>0.54959999999999998</v>
      </c>
      <c r="F47">
        <v>0.127</v>
      </c>
      <c r="G47">
        <v>908</v>
      </c>
      <c r="H47">
        <v>0.7571</v>
      </c>
    </row>
    <row r="48" spans="1:8" x14ac:dyDescent="0.2">
      <c r="A48">
        <v>24510120600</v>
      </c>
      <c r="B48" t="s">
        <v>69</v>
      </c>
      <c r="C48">
        <v>23281</v>
      </c>
      <c r="D48">
        <v>0.43930000000000002</v>
      </c>
      <c r="E48">
        <v>0.51729999999999998</v>
      </c>
      <c r="F48">
        <v>0.1467</v>
      </c>
      <c r="G48">
        <v>712</v>
      </c>
      <c r="H48">
        <v>0.91300000000000003</v>
      </c>
    </row>
    <row r="49" spans="1:8" x14ac:dyDescent="0.2">
      <c r="A49">
        <v>24510120700</v>
      </c>
      <c r="B49" t="s">
        <v>58</v>
      </c>
      <c r="C49">
        <v>25123</v>
      </c>
      <c r="D49">
        <v>0.1734</v>
      </c>
      <c r="E49">
        <v>0.41930000000000001</v>
      </c>
      <c r="F49">
        <v>0.25819999999999999</v>
      </c>
      <c r="G49">
        <v>1103</v>
      </c>
      <c r="H49">
        <v>0.32319999999999999</v>
      </c>
    </row>
    <row r="50" spans="1:8" x14ac:dyDescent="0.2">
      <c r="A50">
        <v>24510130100</v>
      </c>
      <c r="B50" t="s">
        <v>86</v>
      </c>
      <c r="C50">
        <v>17306</v>
      </c>
      <c r="D50">
        <v>0.33660000000000001</v>
      </c>
      <c r="E50">
        <v>0.502</v>
      </c>
      <c r="F50">
        <v>0.12640000000000001</v>
      </c>
      <c r="G50">
        <v>801</v>
      </c>
      <c r="H50">
        <v>0.71289999999999998</v>
      </c>
    </row>
    <row r="51" spans="1:8" x14ac:dyDescent="0.2">
      <c r="A51">
        <v>24510130200</v>
      </c>
      <c r="B51" t="s">
        <v>86</v>
      </c>
      <c r="C51">
        <v>21377</v>
      </c>
      <c r="D51">
        <v>0.34899999999999998</v>
      </c>
      <c r="E51">
        <v>0.48559999999999998</v>
      </c>
      <c r="F51">
        <v>0.1211</v>
      </c>
      <c r="G51">
        <v>959</v>
      </c>
      <c r="H51">
        <v>0.85709999999999997</v>
      </c>
    </row>
    <row r="52" spans="1:8" x14ac:dyDescent="0.2">
      <c r="A52">
        <v>24510130300</v>
      </c>
      <c r="B52" t="s">
        <v>93</v>
      </c>
      <c r="C52">
        <v>20316</v>
      </c>
      <c r="D52">
        <v>0.33100000000000002</v>
      </c>
      <c r="E52">
        <v>0.55400000000000005</v>
      </c>
      <c r="F52">
        <v>6.9800000000000001E-2</v>
      </c>
      <c r="G52">
        <v>976</v>
      </c>
      <c r="H52">
        <v>0.6915</v>
      </c>
    </row>
    <row r="53" spans="1:8" x14ac:dyDescent="0.2">
      <c r="A53">
        <v>24510130400</v>
      </c>
      <c r="B53" t="s">
        <v>68</v>
      </c>
      <c r="C53">
        <v>23598</v>
      </c>
      <c r="D53">
        <v>0.30499999999999999</v>
      </c>
      <c r="E53">
        <v>0.46860000000000002</v>
      </c>
      <c r="F53">
        <v>0.1225</v>
      </c>
      <c r="G53">
        <v>1069</v>
      </c>
      <c r="H53">
        <v>0.64410000000000001</v>
      </c>
    </row>
    <row r="54" spans="1:8" x14ac:dyDescent="0.2">
      <c r="A54">
        <v>24510130600</v>
      </c>
      <c r="B54" t="s">
        <v>22</v>
      </c>
      <c r="C54">
        <v>35464</v>
      </c>
      <c r="D54">
        <v>0.1043</v>
      </c>
      <c r="E54">
        <v>0.34289999999999998</v>
      </c>
      <c r="F54">
        <v>0.42420000000000002</v>
      </c>
      <c r="G54">
        <v>1375</v>
      </c>
      <c r="H54">
        <v>0.2492</v>
      </c>
    </row>
    <row r="55" spans="1:8" x14ac:dyDescent="0.2">
      <c r="A55">
        <v>24510130700</v>
      </c>
      <c r="B55" t="s">
        <v>22</v>
      </c>
      <c r="C55">
        <v>38765</v>
      </c>
      <c r="D55">
        <v>5.9299999999999999E-2</v>
      </c>
      <c r="E55">
        <v>0.2571</v>
      </c>
      <c r="F55">
        <v>0.40760000000000002</v>
      </c>
      <c r="G55">
        <v>947</v>
      </c>
      <c r="H55">
        <v>3.4599999999999999E-2</v>
      </c>
    </row>
    <row r="56" spans="1:8" x14ac:dyDescent="0.2">
      <c r="A56">
        <v>24510130803</v>
      </c>
      <c r="B56" t="s">
        <v>29</v>
      </c>
      <c r="C56">
        <v>35857</v>
      </c>
      <c r="D56">
        <v>9.1200000000000003E-2</v>
      </c>
      <c r="E56">
        <v>0.1646</v>
      </c>
      <c r="F56">
        <v>0.32229999999999998</v>
      </c>
      <c r="G56">
        <v>1122</v>
      </c>
      <c r="H56">
        <v>0.39860000000000001</v>
      </c>
    </row>
    <row r="57" spans="1:8" x14ac:dyDescent="0.2">
      <c r="A57">
        <v>24510130804</v>
      </c>
      <c r="B57" t="s">
        <v>22</v>
      </c>
      <c r="C57">
        <v>34707</v>
      </c>
      <c r="D57">
        <v>0.15590000000000001</v>
      </c>
      <c r="E57">
        <v>0.33929999999999999</v>
      </c>
      <c r="F57">
        <v>0.50280000000000002</v>
      </c>
      <c r="G57">
        <v>1125</v>
      </c>
      <c r="H57">
        <v>0.63490000000000002</v>
      </c>
    </row>
    <row r="58" spans="1:8" x14ac:dyDescent="0.2">
      <c r="A58">
        <v>24510130805</v>
      </c>
      <c r="B58" t="s">
        <v>23</v>
      </c>
      <c r="C58">
        <v>38207</v>
      </c>
      <c r="D58">
        <v>0.13769999999999999</v>
      </c>
      <c r="E58">
        <v>0.23980000000000001</v>
      </c>
      <c r="F58">
        <v>0.1769</v>
      </c>
      <c r="G58">
        <v>766</v>
      </c>
      <c r="H58">
        <v>0.55769999999999997</v>
      </c>
    </row>
    <row r="59" spans="1:8" x14ac:dyDescent="0.2">
      <c r="A59">
        <v>24510130806</v>
      </c>
      <c r="B59" t="s">
        <v>33</v>
      </c>
      <c r="C59">
        <v>32483</v>
      </c>
      <c r="D59">
        <v>0.1159</v>
      </c>
      <c r="E59">
        <v>0.30719999999999997</v>
      </c>
      <c r="F59">
        <v>0.32590000000000002</v>
      </c>
      <c r="G59">
        <v>1665</v>
      </c>
      <c r="H59">
        <v>0.5222</v>
      </c>
    </row>
    <row r="60" spans="1:8" x14ac:dyDescent="0.2">
      <c r="A60">
        <v>24510140100</v>
      </c>
      <c r="B60" t="s">
        <v>27</v>
      </c>
      <c r="C60">
        <v>37731</v>
      </c>
      <c r="D60">
        <v>0.17680000000000001</v>
      </c>
      <c r="E60">
        <v>0.30919999999999997</v>
      </c>
      <c r="F60">
        <v>0.35699999999999998</v>
      </c>
      <c r="G60">
        <v>848</v>
      </c>
      <c r="H60">
        <v>0</v>
      </c>
    </row>
    <row r="61" spans="1:8" x14ac:dyDescent="0.2">
      <c r="A61">
        <v>24510140200</v>
      </c>
      <c r="B61" t="s">
        <v>103</v>
      </c>
      <c r="C61">
        <v>19350</v>
      </c>
      <c r="D61">
        <v>0.56599999999999995</v>
      </c>
      <c r="E61">
        <v>0.5393</v>
      </c>
      <c r="F61">
        <v>7.7200000000000005E-2</v>
      </c>
      <c r="G61">
        <v>743</v>
      </c>
      <c r="H61">
        <v>0.98080000000000001</v>
      </c>
    </row>
    <row r="62" spans="1:8" x14ac:dyDescent="0.2">
      <c r="A62">
        <v>24510140300</v>
      </c>
      <c r="B62" t="s">
        <v>109</v>
      </c>
      <c r="C62">
        <v>18429</v>
      </c>
      <c r="D62">
        <v>0.42620000000000002</v>
      </c>
      <c r="E62">
        <v>0.51859999999999995</v>
      </c>
      <c r="F62">
        <v>9.1399999999999995E-2</v>
      </c>
      <c r="G62">
        <v>955</v>
      </c>
      <c r="H62">
        <v>0.74919999999999998</v>
      </c>
    </row>
    <row r="63" spans="1:8" x14ac:dyDescent="0.2">
      <c r="A63">
        <v>24510150100</v>
      </c>
      <c r="B63" t="s">
        <v>96</v>
      </c>
      <c r="C63">
        <v>17709</v>
      </c>
      <c r="D63">
        <v>0.47320000000000001</v>
      </c>
      <c r="E63">
        <v>0.55110000000000003</v>
      </c>
      <c r="F63">
        <v>5.2200000000000003E-2</v>
      </c>
      <c r="G63">
        <v>401</v>
      </c>
      <c r="H63">
        <v>1</v>
      </c>
    </row>
    <row r="64" spans="1:8" x14ac:dyDescent="0.2">
      <c r="A64">
        <v>24510150200</v>
      </c>
      <c r="B64" t="s">
        <v>96</v>
      </c>
      <c r="C64">
        <v>20270</v>
      </c>
      <c r="D64">
        <v>0.26329999999999998</v>
      </c>
      <c r="E64">
        <v>0.55710000000000004</v>
      </c>
      <c r="F64">
        <v>8.5099999999999995E-2</v>
      </c>
      <c r="G64">
        <v>895</v>
      </c>
      <c r="H64">
        <v>0.6512</v>
      </c>
    </row>
    <row r="65" spans="1:8" x14ac:dyDescent="0.2">
      <c r="A65">
        <v>24510150300</v>
      </c>
      <c r="B65" t="s">
        <v>76</v>
      </c>
      <c r="C65">
        <v>22687</v>
      </c>
      <c r="D65">
        <v>0.2349</v>
      </c>
      <c r="E65">
        <v>0.49099999999999999</v>
      </c>
      <c r="F65">
        <v>0.1077</v>
      </c>
      <c r="G65">
        <v>1032</v>
      </c>
      <c r="H65">
        <v>0.55559999999999998</v>
      </c>
    </row>
    <row r="66" spans="1:8" x14ac:dyDescent="0.2">
      <c r="A66">
        <v>24510150400</v>
      </c>
      <c r="B66" t="s">
        <v>94</v>
      </c>
      <c r="C66">
        <v>20286</v>
      </c>
      <c r="D66">
        <v>0.16209999999999999</v>
      </c>
      <c r="E66">
        <v>0.50429999999999997</v>
      </c>
      <c r="F66">
        <v>0.1053</v>
      </c>
      <c r="G66">
        <v>911</v>
      </c>
      <c r="H66">
        <v>0.79490000000000005</v>
      </c>
    </row>
    <row r="67" spans="1:8" x14ac:dyDescent="0.2">
      <c r="A67">
        <v>24510150500</v>
      </c>
      <c r="B67" t="s">
        <v>61</v>
      </c>
      <c r="C67">
        <v>24561</v>
      </c>
      <c r="D67">
        <v>0.26490000000000002</v>
      </c>
      <c r="E67">
        <v>0.5413</v>
      </c>
      <c r="F67">
        <v>0.1411</v>
      </c>
      <c r="G67">
        <v>893</v>
      </c>
      <c r="H67">
        <v>0.86870000000000003</v>
      </c>
    </row>
    <row r="68" spans="1:8" x14ac:dyDescent="0.2">
      <c r="A68">
        <v>24510150600</v>
      </c>
      <c r="B68" t="s">
        <v>97</v>
      </c>
      <c r="C68">
        <v>20233</v>
      </c>
      <c r="D68">
        <v>0.29239999999999999</v>
      </c>
      <c r="E68">
        <v>0.52129999999999999</v>
      </c>
      <c r="F68">
        <v>7.8700000000000006E-2</v>
      </c>
      <c r="G68">
        <v>761</v>
      </c>
      <c r="H68">
        <v>0.85489999999999999</v>
      </c>
    </row>
    <row r="69" spans="1:8" x14ac:dyDescent="0.2">
      <c r="A69">
        <v>24510150701</v>
      </c>
      <c r="B69" t="s">
        <v>55</v>
      </c>
      <c r="C69">
        <v>25970</v>
      </c>
      <c r="D69">
        <v>0.19159999999999999</v>
      </c>
      <c r="E69">
        <v>0.43930000000000002</v>
      </c>
      <c r="F69">
        <v>0.1168</v>
      </c>
      <c r="G69">
        <v>1307</v>
      </c>
      <c r="H69">
        <v>0.82179999999999997</v>
      </c>
    </row>
    <row r="70" spans="1:8" x14ac:dyDescent="0.2">
      <c r="A70">
        <v>24510150702</v>
      </c>
      <c r="B70" t="s">
        <v>52</v>
      </c>
      <c r="C70">
        <v>26952</v>
      </c>
      <c r="D70">
        <v>0.23730000000000001</v>
      </c>
      <c r="E70">
        <v>0.4597</v>
      </c>
      <c r="F70">
        <v>0.1275</v>
      </c>
      <c r="G70">
        <v>1115</v>
      </c>
      <c r="H70">
        <v>0.89600000000000002</v>
      </c>
    </row>
    <row r="71" spans="1:8" x14ac:dyDescent="0.2">
      <c r="A71">
        <v>24510150800</v>
      </c>
      <c r="B71" t="s">
        <v>57</v>
      </c>
      <c r="C71">
        <v>25381</v>
      </c>
      <c r="D71">
        <v>0.25629999999999997</v>
      </c>
      <c r="E71">
        <v>0.49559999999999998</v>
      </c>
      <c r="F71">
        <v>0.1045</v>
      </c>
      <c r="G71">
        <v>925</v>
      </c>
      <c r="H71">
        <v>0.81720000000000004</v>
      </c>
    </row>
    <row r="72" spans="1:8" x14ac:dyDescent="0.2">
      <c r="A72">
        <v>24510150900</v>
      </c>
      <c r="B72" t="s">
        <v>60</v>
      </c>
      <c r="C72">
        <v>24977</v>
      </c>
      <c r="D72">
        <v>0.21829999999999999</v>
      </c>
      <c r="E72">
        <v>0.40939999999999999</v>
      </c>
      <c r="F72">
        <v>8.0600000000000005E-2</v>
      </c>
      <c r="G72">
        <v>912</v>
      </c>
      <c r="H72">
        <v>0.49609999999999999</v>
      </c>
    </row>
    <row r="73" spans="1:8" x14ac:dyDescent="0.2">
      <c r="A73">
        <v>24510151000</v>
      </c>
      <c r="B73" t="s">
        <v>66</v>
      </c>
      <c r="C73">
        <v>23654</v>
      </c>
      <c r="D73">
        <v>0.27450000000000002</v>
      </c>
      <c r="E73">
        <v>0.44790000000000002</v>
      </c>
      <c r="F73">
        <v>0.1038</v>
      </c>
      <c r="G73">
        <v>888</v>
      </c>
      <c r="H73">
        <v>0.80669999999999997</v>
      </c>
    </row>
    <row r="74" spans="1:8" x14ac:dyDescent="0.2">
      <c r="A74">
        <v>24510151100</v>
      </c>
      <c r="B74" t="s">
        <v>46</v>
      </c>
      <c r="C74">
        <v>28912</v>
      </c>
      <c r="D74">
        <v>0.15690000000000001</v>
      </c>
      <c r="E74">
        <v>0.36149999999999999</v>
      </c>
      <c r="F74">
        <v>0.1464</v>
      </c>
      <c r="G74">
        <v>861</v>
      </c>
      <c r="H74">
        <v>0.7823</v>
      </c>
    </row>
    <row r="75" spans="1:8" x14ac:dyDescent="0.2">
      <c r="A75">
        <v>24510151200</v>
      </c>
      <c r="B75" t="s">
        <v>79</v>
      </c>
      <c r="C75">
        <v>22384</v>
      </c>
      <c r="D75">
        <v>0.31559999999999999</v>
      </c>
      <c r="E75">
        <v>0.46310000000000001</v>
      </c>
      <c r="F75">
        <v>0.1094</v>
      </c>
      <c r="G75">
        <v>538</v>
      </c>
      <c r="H75">
        <v>0.73080000000000001</v>
      </c>
    </row>
    <row r="76" spans="1:8" x14ac:dyDescent="0.2">
      <c r="A76">
        <v>24510151300</v>
      </c>
      <c r="B76" t="s">
        <v>67</v>
      </c>
      <c r="C76">
        <v>21395</v>
      </c>
      <c r="D76">
        <v>0.44309999999999999</v>
      </c>
      <c r="E76">
        <v>0.52869999999999995</v>
      </c>
      <c r="F76">
        <v>9.06E-2</v>
      </c>
      <c r="G76">
        <v>957</v>
      </c>
      <c r="H76">
        <v>0.7681</v>
      </c>
    </row>
    <row r="77" spans="1:8" x14ac:dyDescent="0.2">
      <c r="A77">
        <v>24510160100</v>
      </c>
      <c r="B77" t="s">
        <v>95</v>
      </c>
      <c r="C77">
        <v>20279</v>
      </c>
      <c r="D77">
        <v>0.38790000000000002</v>
      </c>
      <c r="E77">
        <v>0.55120000000000002</v>
      </c>
      <c r="F77">
        <v>6.4299999999999996E-2</v>
      </c>
      <c r="G77">
        <v>690</v>
      </c>
      <c r="H77">
        <v>0.85619999999999996</v>
      </c>
    </row>
    <row r="78" spans="1:8" x14ac:dyDescent="0.2">
      <c r="A78">
        <v>24510160200</v>
      </c>
      <c r="B78" t="s">
        <v>96</v>
      </c>
      <c r="C78">
        <v>19809</v>
      </c>
      <c r="D78">
        <v>0.3034</v>
      </c>
      <c r="E78">
        <v>0.51690000000000003</v>
      </c>
      <c r="F78">
        <v>9.7500000000000003E-2</v>
      </c>
      <c r="G78">
        <v>767</v>
      </c>
      <c r="H78">
        <v>0.83789999999999998</v>
      </c>
    </row>
    <row r="79" spans="1:8" x14ac:dyDescent="0.2">
      <c r="A79">
        <v>24510160300</v>
      </c>
      <c r="B79" t="s">
        <v>96</v>
      </c>
      <c r="C79">
        <v>19401</v>
      </c>
      <c r="D79">
        <v>0.39369999999999999</v>
      </c>
      <c r="E79">
        <v>0.56930000000000003</v>
      </c>
      <c r="F79">
        <v>2.2599999999999999E-2</v>
      </c>
      <c r="G79">
        <v>814</v>
      </c>
      <c r="H79">
        <v>0.85229999999999995</v>
      </c>
    </row>
    <row r="80" spans="1:8" x14ac:dyDescent="0.2">
      <c r="A80">
        <v>24510160400</v>
      </c>
      <c r="B80" t="s">
        <v>100</v>
      </c>
      <c r="C80">
        <v>19802</v>
      </c>
      <c r="D80">
        <v>0.37769999999999998</v>
      </c>
      <c r="E80">
        <v>0.5444</v>
      </c>
      <c r="F80">
        <v>5.0999999999999997E-2</v>
      </c>
      <c r="G80">
        <v>982</v>
      </c>
      <c r="H80">
        <v>0.90780000000000005</v>
      </c>
    </row>
    <row r="81" spans="1:8" x14ac:dyDescent="0.2">
      <c r="A81">
        <v>24510160500</v>
      </c>
      <c r="B81" t="s">
        <v>80</v>
      </c>
      <c r="C81">
        <v>22158</v>
      </c>
      <c r="D81">
        <v>0.25690000000000002</v>
      </c>
      <c r="E81">
        <v>0.45340000000000003</v>
      </c>
      <c r="F81">
        <v>7.2900000000000006E-2</v>
      </c>
      <c r="G81">
        <v>1024</v>
      </c>
      <c r="H81">
        <v>0.69310000000000005</v>
      </c>
    </row>
    <row r="82" spans="1:8" x14ac:dyDescent="0.2">
      <c r="A82">
        <v>24510160600</v>
      </c>
      <c r="B82" t="s">
        <v>75</v>
      </c>
      <c r="C82">
        <v>22748</v>
      </c>
      <c r="D82">
        <v>0.36230000000000001</v>
      </c>
      <c r="E82">
        <v>0.56540000000000001</v>
      </c>
      <c r="F82">
        <v>8.5400000000000004E-2</v>
      </c>
      <c r="G82">
        <v>733</v>
      </c>
      <c r="H82">
        <v>0.88</v>
      </c>
    </row>
    <row r="83" spans="1:8" x14ac:dyDescent="0.2">
      <c r="A83">
        <v>24510160700</v>
      </c>
      <c r="B83" t="s">
        <v>83</v>
      </c>
      <c r="C83">
        <v>21705</v>
      </c>
      <c r="D83">
        <v>0.37159999999999999</v>
      </c>
      <c r="E83">
        <v>0.42420000000000002</v>
      </c>
      <c r="F83">
        <v>0.115</v>
      </c>
      <c r="G83">
        <v>1062</v>
      </c>
      <c r="H83">
        <v>0.7147</v>
      </c>
    </row>
    <row r="84" spans="1:8" x14ac:dyDescent="0.2">
      <c r="A84">
        <v>24510160801</v>
      </c>
      <c r="B84" t="s">
        <v>65</v>
      </c>
      <c r="C84">
        <v>23701</v>
      </c>
      <c r="D84">
        <v>0.18340000000000001</v>
      </c>
      <c r="E84">
        <v>0.46870000000000001</v>
      </c>
      <c r="F84">
        <v>8.6999999999999994E-2</v>
      </c>
      <c r="G84">
        <v>966</v>
      </c>
      <c r="H84">
        <v>0.73240000000000005</v>
      </c>
    </row>
    <row r="85" spans="1:8" x14ac:dyDescent="0.2">
      <c r="A85">
        <v>24510160802</v>
      </c>
      <c r="B85" t="s">
        <v>65</v>
      </c>
      <c r="C85">
        <v>22834</v>
      </c>
      <c r="D85">
        <v>0.12809999999999999</v>
      </c>
      <c r="E85">
        <v>0.47939999999999999</v>
      </c>
      <c r="F85">
        <v>0.10440000000000001</v>
      </c>
      <c r="G85">
        <v>1211</v>
      </c>
      <c r="H85">
        <v>0.75929999999999997</v>
      </c>
    </row>
    <row r="86" spans="1:8" x14ac:dyDescent="0.2">
      <c r="A86">
        <v>24510170100</v>
      </c>
      <c r="B86" t="s">
        <v>32</v>
      </c>
      <c r="C86">
        <v>24776</v>
      </c>
      <c r="D86">
        <v>0.27839999999999998</v>
      </c>
      <c r="E86">
        <v>0.45090000000000002</v>
      </c>
      <c r="F86">
        <v>0.1056</v>
      </c>
      <c r="G86">
        <v>961</v>
      </c>
      <c r="H86">
        <v>0.93330000000000002</v>
      </c>
    </row>
    <row r="87" spans="1:8" x14ac:dyDescent="0.2">
      <c r="A87">
        <v>24510170200</v>
      </c>
      <c r="B87" t="s">
        <v>107</v>
      </c>
      <c r="C87">
        <v>19019</v>
      </c>
      <c r="D87">
        <v>0.51980000000000004</v>
      </c>
      <c r="E87">
        <v>0.60740000000000005</v>
      </c>
      <c r="F87">
        <v>5.5399999999999998E-2</v>
      </c>
      <c r="G87">
        <v>388</v>
      </c>
      <c r="H87">
        <v>0.89929999999999999</v>
      </c>
    </row>
    <row r="88" spans="1:8" x14ac:dyDescent="0.2">
      <c r="A88">
        <v>24510170300</v>
      </c>
      <c r="B88" t="s">
        <v>103</v>
      </c>
      <c r="C88">
        <v>19493</v>
      </c>
      <c r="D88">
        <v>0.31030000000000002</v>
      </c>
      <c r="E88">
        <v>0.58660000000000001</v>
      </c>
      <c r="F88">
        <v>7.2099999999999997E-2</v>
      </c>
      <c r="G88">
        <v>769</v>
      </c>
      <c r="H88">
        <v>0.94069999999999998</v>
      </c>
    </row>
    <row r="89" spans="1:8" x14ac:dyDescent="0.2">
      <c r="A89">
        <v>24510180100</v>
      </c>
      <c r="B89" t="s">
        <v>72</v>
      </c>
      <c r="C89">
        <v>15979</v>
      </c>
      <c r="D89">
        <v>0.58599999999999997</v>
      </c>
      <c r="E89">
        <v>0.44450000000000001</v>
      </c>
      <c r="F89">
        <v>6.4199999999999993E-2</v>
      </c>
      <c r="G89">
        <v>484</v>
      </c>
      <c r="H89">
        <v>0.98299999999999998</v>
      </c>
    </row>
    <row r="90" spans="1:8" x14ac:dyDescent="0.2">
      <c r="A90">
        <v>24510180200</v>
      </c>
      <c r="B90" t="s">
        <v>72</v>
      </c>
      <c r="C90">
        <v>22926</v>
      </c>
      <c r="D90">
        <v>0.40699999999999997</v>
      </c>
      <c r="E90">
        <v>0.46150000000000002</v>
      </c>
      <c r="F90">
        <v>8.4400000000000003E-2</v>
      </c>
      <c r="G90">
        <v>497</v>
      </c>
      <c r="H90">
        <v>0.66669999999999996</v>
      </c>
    </row>
    <row r="91" spans="1:8" x14ac:dyDescent="0.2">
      <c r="A91">
        <v>24510180300</v>
      </c>
      <c r="B91" t="s">
        <v>78</v>
      </c>
      <c r="C91">
        <v>22384</v>
      </c>
      <c r="D91">
        <v>0.36149999999999999</v>
      </c>
      <c r="E91">
        <v>0.42609999999999998</v>
      </c>
      <c r="F91">
        <v>0.1128</v>
      </c>
      <c r="G91">
        <v>960</v>
      </c>
      <c r="H91">
        <v>0.8478</v>
      </c>
    </row>
    <row r="92" spans="1:8" x14ac:dyDescent="0.2">
      <c r="A92">
        <v>24510190100</v>
      </c>
      <c r="B92" t="s">
        <v>111</v>
      </c>
      <c r="C92">
        <v>18168</v>
      </c>
      <c r="D92">
        <v>0.38719999999999999</v>
      </c>
      <c r="E92">
        <v>0.53610000000000002</v>
      </c>
      <c r="F92">
        <v>4.3499999999999997E-2</v>
      </c>
      <c r="G92">
        <v>743</v>
      </c>
      <c r="H92">
        <v>0.97450000000000003</v>
      </c>
    </row>
    <row r="93" spans="1:8" x14ac:dyDescent="0.2">
      <c r="A93">
        <v>24510190200</v>
      </c>
      <c r="B93" t="s">
        <v>87</v>
      </c>
      <c r="C93">
        <v>21278</v>
      </c>
      <c r="D93">
        <v>0.33079999999999998</v>
      </c>
      <c r="E93">
        <v>0.4118</v>
      </c>
      <c r="F93">
        <v>0.18529999999999999</v>
      </c>
      <c r="G93">
        <v>969</v>
      </c>
      <c r="H93">
        <v>0.73680000000000001</v>
      </c>
    </row>
    <row r="94" spans="1:8" x14ac:dyDescent="0.2">
      <c r="A94">
        <v>24510190300</v>
      </c>
      <c r="B94" t="s">
        <v>101</v>
      </c>
      <c r="C94">
        <v>19764</v>
      </c>
      <c r="D94">
        <v>0.36259999999999998</v>
      </c>
      <c r="E94">
        <v>0.4642</v>
      </c>
      <c r="F94">
        <v>0.16589999999999999</v>
      </c>
      <c r="G94">
        <v>859</v>
      </c>
      <c r="H94">
        <v>0.64470000000000005</v>
      </c>
    </row>
    <row r="95" spans="1:8" x14ac:dyDescent="0.2">
      <c r="A95">
        <v>24510200100</v>
      </c>
      <c r="B95" t="s">
        <v>84</v>
      </c>
      <c r="C95">
        <v>21614</v>
      </c>
      <c r="D95">
        <v>0.47499999999999998</v>
      </c>
      <c r="E95">
        <v>0.60780000000000001</v>
      </c>
      <c r="F95">
        <v>1.7600000000000001E-2</v>
      </c>
      <c r="G95">
        <v>1106</v>
      </c>
      <c r="H95">
        <v>0.66339999999999999</v>
      </c>
    </row>
    <row r="96" spans="1:8" x14ac:dyDescent="0.2">
      <c r="A96">
        <v>24510200200</v>
      </c>
      <c r="B96" t="s">
        <v>84</v>
      </c>
      <c r="C96">
        <v>19401</v>
      </c>
      <c r="D96">
        <v>0.38719999999999999</v>
      </c>
      <c r="E96">
        <v>0.50070000000000003</v>
      </c>
      <c r="F96">
        <v>8.2299999999999998E-2</v>
      </c>
      <c r="G96">
        <v>1029</v>
      </c>
      <c r="H96">
        <v>0.44550000000000001</v>
      </c>
    </row>
    <row r="97" spans="1:8" x14ac:dyDescent="0.2">
      <c r="A97">
        <v>24510200300</v>
      </c>
      <c r="B97" t="s">
        <v>105</v>
      </c>
      <c r="C97">
        <v>19404</v>
      </c>
      <c r="D97">
        <v>0.4375</v>
      </c>
      <c r="E97">
        <v>0.55979999999999996</v>
      </c>
      <c r="F97">
        <v>0.1888</v>
      </c>
      <c r="G97">
        <v>1000</v>
      </c>
      <c r="H97">
        <v>0.92379999999999995</v>
      </c>
    </row>
    <row r="98" spans="1:8" x14ac:dyDescent="0.2">
      <c r="A98">
        <v>24510200400</v>
      </c>
      <c r="B98" t="s">
        <v>112</v>
      </c>
      <c r="C98">
        <v>17979</v>
      </c>
      <c r="D98">
        <v>0.38800000000000001</v>
      </c>
      <c r="E98">
        <v>0.59809999999999997</v>
      </c>
      <c r="F98">
        <v>7.17E-2</v>
      </c>
      <c r="G98">
        <v>838</v>
      </c>
      <c r="H98">
        <v>0.81330000000000002</v>
      </c>
    </row>
    <row r="99" spans="1:8" x14ac:dyDescent="0.2">
      <c r="A99">
        <v>24510200600</v>
      </c>
      <c r="B99" t="s">
        <v>9</v>
      </c>
      <c r="C99">
        <v>22959</v>
      </c>
      <c r="D99">
        <v>0.28260000000000002</v>
      </c>
      <c r="E99">
        <v>0.43409999999999999</v>
      </c>
      <c r="F99">
        <v>0.1804</v>
      </c>
      <c r="G99">
        <v>1094</v>
      </c>
      <c r="H99">
        <v>0.59860000000000002</v>
      </c>
    </row>
    <row r="100" spans="1:8" x14ac:dyDescent="0.2">
      <c r="A100">
        <v>24510200701</v>
      </c>
      <c r="B100" t="s">
        <v>59</v>
      </c>
      <c r="C100">
        <v>25104</v>
      </c>
      <c r="D100">
        <v>0.26979999999999998</v>
      </c>
      <c r="E100">
        <v>0.47370000000000001</v>
      </c>
      <c r="F100">
        <v>9.6199999999999994E-2</v>
      </c>
      <c r="G100">
        <v>860</v>
      </c>
      <c r="H100">
        <v>0.74339999999999995</v>
      </c>
    </row>
    <row r="101" spans="1:8" x14ac:dyDescent="0.2">
      <c r="A101">
        <v>24510200702</v>
      </c>
      <c r="B101" t="s">
        <v>70</v>
      </c>
      <c r="C101">
        <v>23275</v>
      </c>
      <c r="D101">
        <v>0.39560000000000001</v>
      </c>
      <c r="E101">
        <v>0.48780000000000001</v>
      </c>
      <c r="F101">
        <v>0.15359999999999999</v>
      </c>
      <c r="G101">
        <v>1112</v>
      </c>
      <c r="H101">
        <v>0.85919999999999996</v>
      </c>
    </row>
    <row r="102" spans="1:8" x14ac:dyDescent="0.2">
      <c r="A102">
        <v>24510200800</v>
      </c>
      <c r="B102" t="s">
        <v>53</v>
      </c>
      <c r="C102">
        <v>26669</v>
      </c>
      <c r="D102">
        <v>0.26150000000000001</v>
      </c>
      <c r="E102">
        <v>0.48020000000000002</v>
      </c>
      <c r="F102">
        <v>0.11459999999999999</v>
      </c>
      <c r="G102">
        <v>782</v>
      </c>
      <c r="H102">
        <v>0.75839999999999996</v>
      </c>
    </row>
    <row r="103" spans="1:8" x14ac:dyDescent="0.2">
      <c r="A103">
        <v>24510220100</v>
      </c>
      <c r="B103" t="s">
        <v>9</v>
      </c>
      <c r="C103">
        <v>48714</v>
      </c>
      <c r="D103">
        <v>0.1106</v>
      </c>
      <c r="E103">
        <v>0.15759999999999999</v>
      </c>
      <c r="F103">
        <v>0.35220000000000001</v>
      </c>
      <c r="G103">
        <v>1339</v>
      </c>
      <c r="H103">
        <v>0.51949999999999996</v>
      </c>
    </row>
    <row r="104" spans="1:8" x14ac:dyDescent="0.2">
      <c r="A104">
        <v>24510260101</v>
      </c>
      <c r="B104" t="s">
        <v>30</v>
      </c>
      <c r="C104">
        <v>34720</v>
      </c>
      <c r="D104">
        <v>0.18720000000000001</v>
      </c>
      <c r="E104">
        <v>0.33139999999999997</v>
      </c>
      <c r="F104">
        <v>0.32090000000000002</v>
      </c>
      <c r="G104">
        <v>1012</v>
      </c>
      <c r="H104">
        <v>0.60540000000000005</v>
      </c>
    </row>
    <row r="105" spans="1:8" x14ac:dyDescent="0.2">
      <c r="A105">
        <v>24510260102</v>
      </c>
      <c r="B105" t="s">
        <v>40</v>
      </c>
      <c r="C105">
        <v>30843</v>
      </c>
      <c r="D105">
        <v>0.1152</v>
      </c>
      <c r="E105">
        <v>0.3422</v>
      </c>
      <c r="F105">
        <v>0.1825</v>
      </c>
      <c r="G105">
        <v>868</v>
      </c>
      <c r="H105">
        <v>0.55700000000000005</v>
      </c>
    </row>
    <row r="106" spans="1:8" x14ac:dyDescent="0.2">
      <c r="A106">
        <v>24510260201</v>
      </c>
      <c r="B106" t="s">
        <v>40</v>
      </c>
      <c r="C106">
        <v>27754</v>
      </c>
      <c r="D106">
        <v>0.17730000000000001</v>
      </c>
      <c r="E106">
        <v>0.39229999999999998</v>
      </c>
      <c r="F106">
        <v>0.1822</v>
      </c>
      <c r="G106">
        <v>853</v>
      </c>
      <c r="H106">
        <v>0.5615</v>
      </c>
    </row>
    <row r="107" spans="1:8" x14ac:dyDescent="0.2">
      <c r="A107">
        <v>24510260202</v>
      </c>
      <c r="B107" t="s">
        <v>56</v>
      </c>
      <c r="C107">
        <v>25652</v>
      </c>
      <c r="D107">
        <v>0.18029999999999999</v>
      </c>
      <c r="E107">
        <v>0.43230000000000002</v>
      </c>
      <c r="F107">
        <v>0.1462</v>
      </c>
      <c r="G107">
        <v>828</v>
      </c>
      <c r="H107">
        <v>0.56340000000000001</v>
      </c>
    </row>
    <row r="108" spans="1:8" x14ac:dyDescent="0.2">
      <c r="A108">
        <v>24510260203</v>
      </c>
      <c r="B108" t="s">
        <v>40</v>
      </c>
      <c r="C108">
        <v>25018</v>
      </c>
      <c r="D108">
        <v>0.21279999999999999</v>
      </c>
      <c r="E108">
        <v>0.36099999999999999</v>
      </c>
      <c r="F108">
        <v>0.15049999999999999</v>
      </c>
      <c r="G108">
        <v>956</v>
      </c>
      <c r="H108">
        <v>0.65939999999999999</v>
      </c>
    </row>
    <row r="109" spans="1:8" x14ac:dyDescent="0.2">
      <c r="A109">
        <v>24510260301</v>
      </c>
      <c r="B109" t="s">
        <v>36</v>
      </c>
      <c r="C109">
        <v>24400</v>
      </c>
      <c r="D109">
        <v>0.31630000000000003</v>
      </c>
      <c r="E109">
        <v>0.40770000000000001</v>
      </c>
      <c r="F109">
        <v>0.16739999999999999</v>
      </c>
      <c r="G109">
        <v>1303</v>
      </c>
      <c r="H109">
        <v>0.85919999999999996</v>
      </c>
    </row>
    <row r="110" spans="1:8" x14ac:dyDescent="0.2">
      <c r="A110">
        <v>24510260302</v>
      </c>
      <c r="B110" t="s">
        <v>36</v>
      </c>
      <c r="C110">
        <v>28615</v>
      </c>
      <c r="D110">
        <v>0.27510000000000001</v>
      </c>
      <c r="E110">
        <v>0.43440000000000001</v>
      </c>
      <c r="F110">
        <v>0.16889999999999999</v>
      </c>
      <c r="G110">
        <v>1023</v>
      </c>
      <c r="H110">
        <v>0.89059999999999995</v>
      </c>
    </row>
    <row r="111" spans="1:8" x14ac:dyDescent="0.2">
      <c r="A111">
        <v>24510260303</v>
      </c>
      <c r="B111" t="s">
        <v>108</v>
      </c>
      <c r="C111">
        <v>18894</v>
      </c>
      <c r="D111">
        <v>0.37080000000000002</v>
      </c>
      <c r="E111">
        <v>0.46810000000000002</v>
      </c>
      <c r="F111">
        <v>8.6599999999999996E-2</v>
      </c>
      <c r="G111">
        <v>1006</v>
      </c>
      <c r="H111">
        <v>0.86760000000000004</v>
      </c>
    </row>
    <row r="112" spans="1:8" x14ac:dyDescent="0.2">
      <c r="A112">
        <v>24510260401</v>
      </c>
      <c r="B112" t="s">
        <v>43</v>
      </c>
      <c r="C112">
        <v>30027</v>
      </c>
      <c r="D112">
        <v>0.19689999999999999</v>
      </c>
      <c r="E112">
        <v>0.28839999999999999</v>
      </c>
      <c r="F112">
        <v>0.3054</v>
      </c>
      <c r="G112">
        <v>610</v>
      </c>
      <c r="H112">
        <v>0.51329999999999998</v>
      </c>
    </row>
    <row r="113" spans="1:8" x14ac:dyDescent="0.2">
      <c r="A113">
        <v>24510260402</v>
      </c>
      <c r="B113" t="s">
        <v>40</v>
      </c>
      <c r="C113">
        <v>23702</v>
      </c>
      <c r="D113">
        <v>0.2457</v>
      </c>
      <c r="E113">
        <v>0.52180000000000004</v>
      </c>
      <c r="F113">
        <v>0.12379999999999999</v>
      </c>
      <c r="G113">
        <v>862</v>
      </c>
      <c r="H113">
        <v>0.67410000000000003</v>
      </c>
    </row>
    <row r="114" spans="1:8" x14ac:dyDescent="0.2">
      <c r="A114">
        <v>24510260403</v>
      </c>
      <c r="B114" t="s">
        <v>73</v>
      </c>
      <c r="C114">
        <v>22835</v>
      </c>
      <c r="D114">
        <v>0.2989</v>
      </c>
      <c r="E114">
        <v>0.52529999999999999</v>
      </c>
      <c r="F114">
        <v>0.1024</v>
      </c>
      <c r="G114">
        <v>831</v>
      </c>
      <c r="H114">
        <v>0.79059999999999997</v>
      </c>
    </row>
    <row r="115" spans="1:8" x14ac:dyDescent="0.2">
      <c r="A115">
        <v>24510260404</v>
      </c>
      <c r="B115" t="s">
        <v>42</v>
      </c>
      <c r="C115">
        <v>24252</v>
      </c>
      <c r="D115">
        <v>0.3004</v>
      </c>
      <c r="E115">
        <v>0.41199999999999998</v>
      </c>
      <c r="F115">
        <v>0.2298</v>
      </c>
      <c r="G115">
        <v>1193</v>
      </c>
      <c r="H115">
        <v>0.70140000000000002</v>
      </c>
    </row>
    <row r="116" spans="1:8" x14ac:dyDescent="0.2">
      <c r="A116">
        <v>24510260501</v>
      </c>
      <c r="B116" t="s">
        <v>28</v>
      </c>
      <c r="C116">
        <v>36983</v>
      </c>
      <c r="D116">
        <v>0.11219999999999999</v>
      </c>
      <c r="E116">
        <v>0.19</v>
      </c>
      <c r="F116">
        <v>0.38790000000000002</v>
      </c>
      <c r="G116">
        <v>1061</v>
      </c>
      <c r="H116">
        <v>0.44700000000000001</v>
      </c>
    </row>
    <row r="117" spans="1:8" x14ac:dyDescent="0.2">
      <c r="A117">
        <v>24510260700</v>
      </c>
      <c r="B117" t="s">
        <v>34</v>
      </c>
      <c r="C117">
        <v>32278</v>
      </c>
      <c r="D117">
        <v>0.2243</v>
      </c>
      <c r="E117">
        <v>0.23089999999999999</v>
      </c>
      <c r="F117">
        <v>0.32169999999999999</v>
      </c>
      <c r="G117">
        <v>1288</v>
      </c>
      <c r="H117">
        <v>0.44</v>
      </c>
    </row>
    <row r="118" spans="1:8" x14ac:dyDescent="0.2">
      <c r="A118">
        <v>24510260800</v>
      </c>
      <c r="B118" t="s">
        <v>42</v>
      </c>
      <c r="C118">
        <v>30040</v>
      </c>
      <c r="D118">
        <v>0.26840000000000003</v>
      </c>
      <c r="E118">
        <v>0.36230000000000001</v>
      </c>
      <c r="F118">
        <v>0.33210000000000001</v>
      </c>
      <c r="G118">
        <v>1078</v>
      </c>
      <c r="H118">
        <v>0.38119999999999998</v>
      </c>
    </row>
    <row r="119" spans="1:8" x14ac:dyDescent="0.2">
      <c r="A119">
        <v>24510260900</v>
      </c>
      <c r="B119" t="s">
        <v>9</v>
      </c>
      <c r="C119">
        <v>32706</v>
      </c>
      <c r="D119">
        <v>7.9699999999999993E-2</v>
      </c>
      <c r="E119">
        <v>0.1749</v>
      </c>
      <c r="F119">
        <v>0.27329999999999999</v>
      </c>
      <c r="G119">
        <v>2070</v>
      </c>
      <c r="H119">
        <v>0.30070000000000002</v>
      </c>
    </row>
    <row r="120" spans="1:8" x14ac:dyDescent="0.2">
      <c r="A120">
        <v>24510261000</v>
      </c>
      <c r="B120" t="s">
        <v>39</v>
      </c>
      <c r="C120">
        <v>26563</v>
      </c>
      <c r="D120">
        <v>0.1847</v>
      </c>
      <c r="E120">
        <v>0.41589999999999999</v>
      </c>
      <c r="F120">
        <v>0.2409</v>
      </c>
      <c r="G120">
        <v>1090</v>
      </c>
      <c r="H120">
        <v>0.31380000000000002</v>
      </c>
    </row>
    <row r="121" spans="1:8" x14ac:dyDescent="0.2">
      <c r="A121">
        <v>24510261100</v>
      </c>
      <c r="B121" t="s">
        <v>17</v>
      </c>
      <c r="C121">
        <v>39841</v>
      </c>
      <c r="D121">
        <v>0.104</v>
      </c>
      <c r="E121">
        <v>0.29899999999999999</v>
      </c>
      <c r="F121">
        <v>0.46839999999999998</v>
      </c>
      <c r="G121">
        <v>1230</v>
      </c>
      <c r="H121">
        <v>0.1079</v>
      </c>
    </row>
    <row r="122" spans="1:8" x14ac:dyDescent="0.2">
      <c r="A122">
        <v>24510270101</v>
      </c>
      <c r="B122" t="s">
        <v>18</v>
      </c>
      <c r="C122">
        <v>39473</v>
      </c>
      <c r="D122">
        <v>0.28989999999999999</v>
      </c>
      <c r="E122">
        <v>0.255</v>
      </c>
      <c r="F122">
        <v>0.34610000000000002</v>
      </c>
      <c r="G122">
        <v>900</v>
      </c>
      <c r="H122">
        <v>0.58330000000000004</v>
      </c>
    </row>
    <row r="123" spans="1:8" x14ac:dyDescent="0.2">
      <c r="A123">
        <v>24510270102</v>
      </c>
      <c r="B123" t="s">
        <v>16</v>
      </c>
      <c r="C123">
        <v>35963</v>
      </c>
      <c r="D123">
        <v>8.9200000000000002E-2</v>
      </c>
      <c r="E123">
        <v>0.29399999999999998</v>
      </c>
      <c r="F123">
        <v>0.30630000000000002</v>
      </c>
      <c r="G123">
        <v>1573</v>
      </c>
      <c r="H123">
        <v>0.46379999999999999</v>
      </c>
    </row>
    <row r="124" spans="1:8" x14ac:dyDescent="0.2">
      <c r="A124">
        <v>24510270200</v>
      </c>
      <c r="B124" t="s">
        <v>24</v>
      </c>
      <c r="C124">
        <v>38140</v>
      </c>
      <c r="D124">
        <v>9.7100000000000006E-2</v>
      </c>
      <c r="E124">
        <v>0.26</v>
      </c>
      <c r="F124">
        <v>0.31619999999999998</v>
      </c>
      <c r="G124">
        <v>980</v>
      </c>
      <c r="H124">
        <v>0.33329999999999999</v>
      </c>
    </row>
    <row r="125" spans="1:8" x14ac:dyDescent="0.2">
      <c r="A125">
        <v>24510270301</v>
      </c>
      <c r="B125" t="s">
        <v>24</v>
      </c>
      <c r="C125">
        <v>36213</v>
      </c>
      <c r="D125">
        <v>0.11260000000000001</v>
      </c>
      <c r="E125">
        <v>0.21759999999999999</v>
      </c>
      <c r="F125">
        <v>0.29120000000000001</v>
      </c>
      <c r="G125">
        <v>1169</v>
      </c>
      <c r="H125">
        <v>0.31850000000000001</v>
      </c>
    </row>
    <row r="126" spans="1:8" x14ac:dyDescent="0.2">
      <c r="A126">
        <v>24510270302</v>
      </c>
      <c r="B126" t="s">
        <v>16</v>
      </c>
      <c r="C126">
        <v>40535</v>
      </c>
      <c r="D126">
        <v>0.12180000000000001</v>
      </c>
      <c r="E126">
        <v>0.2016</v>
      </c>
      <c r="F126">
        <v>0.2777</v>
      </c>
      <c r="G126">
        <v>881</v>
      </c>
      <c r="H126">
        <v>0.25359999999999999</v>
      </c>
    </row>
    <row r="127" spans="1:8" x14ac:dyDescent="0.2">
      <c r="A127">
        <v>24510270401</v>
      </c>
      <c r="B127" t="s">
        <v>14</v>
      </c>
      <c r="C127">
        <v>34074</v>
      </c>
      <c r="D127">
        <v>0.14779999999999999</v>
      </c>
      <c r="E127">
        <v>0.29749999999999999</v>
      </c>
      <c r="F127">
        <v>0.32969999999999999</v>
      </c>
      <c r="G127">
        <v>942</v>
      </c>
      <c r="H127">
        <v>0.7127</v>
      </c>
    </row>
    <row r="128" spans="1:8" x14ac:dyDescent="0.2">
      <c r="A128">
        <v>24510270402</v>
      </c>
      <c r="B128" t="s">
        <v>14</v>
      </c>
      <c r="C128">
        <v>42492</v>
      </c>
      <c r="D128">
        <v>9.7600000000000006E-2</v>
      </c>
      <c r="E128">
        <v>0.22689999999999999</v>
      </c>
      <c r="F128">
        <v>0.41610000000000003</v>
      </c>
      <c r="G128">
        <v>1006</v>
      </c>
      <c r="H128">
        <v>0.18809999999999999</v>
      </c>
    </row>
    <row r="129" spans="1:8" x14ac:dyDescent="0.2">
      <c r="A129">
        <v>24510270501</v>
      </c>
      <c r="B129" t="s">
        <v>12</v>
      </c>
      <c r="C129">
        <v>47909</v>
      </c>
      <c r="D129">
        <v>6.7799999999999999E-2</v>
      </c>
      <c r="E129">
        <v>0.16270000000000001</v>
      </c>
      <c r="F129">
        <v>0.56330000000000002</v>
      </c>
      <c r="G129">
        <v>880</v>
      </c>
      <c r="H129">
        <v>0.14630000000000001</v>
      </c>
    </row>
    <row r="130" spans="1:8" x14ac:dyDescent="0.2">
      <c r="A130">
        <v>24510270502</v>
      </c>
      <c r="B130" t="s">
        <v>10</v>
      </c>
      <c r="C130">
        <v>41953</v>
      </c>
      <c r="D130">
        <v>0.1341</v>
      </c>
      <c r="E130">
        <v>0.16789999999999999</v>
      </c>
      <c r="F130">
        <v>0.35799999999999998</v>
      </c>
      <c r="G130">
        <v>876</v>
      </c>
      <c r="H130">
        <v>0.44440000000000002</v>
      </c>
    </row>
    <row r="131" spans="1:8" x14ac:dyDescent="0.2">
      <c r="A131">
        <v>24510270600</v>
      </c>
      <c r="B131" t="s">
        <v>20</v>
      </c>
      <c r="C131">
        <v>39237</v>
      </c>
      <c r="D131">
        <v>0.13250000000000001</v>
      </c>
      <c r="E131">
        <v>0.1883</v>
      </c>
      <c r="F131">
        <v>0.33939999999999998</v>
      </c>
      <c r="G131">
        <v>853</v>
      </c>
      <c r="H131">
        <v>0.37030000000000002</v>
      </c>
    </row>
    <row r="132" spans="1:8" x14ac:dyDescent="0.2">
      <c r="A132">
        <v>24510270701</v>
      </c>
      <c r="B132" t="s">
        <v>20</v>
      </c>
      <c r="C132">
        <v>23004</v>
      </c>
      <c r="D132">
        <v>0.2417</v>
      </c>
      <c r="E132">
        <v>0.47520000000000001</v>
      </c>
      <c r="F132">
        <v>0.14649999999999999</v>
      </c>
      <c r="G132">
        <v>972</v>
      </c>
      <c r="H132">
        <v>0.77839999999999998</v>
      </c>
    </row>
    <row r="133" spans="1:8" x14ac:dyDescent="0.2">
      <c r="A133">
        <v>24510270702</v>
      </c>
      <c r="B133" t="s">
        <v>20</v>
      </c>
      <c r="C133">
        <v>34637</v>
      </c>
      <c r="D133">
        <v>0.1278</v>
      </c>
      <c r="E133">
        <v>0.3024</v>
      </c>
      <c r="F133">
        <v>0.30759999999999998</v>
      </c>
      <c r="G133">
        <v>940</v>
      </c>
      <c r="H133">
        <v>0.92789999999999995</v>
      </c>
    </row>
    <row r="134" spans="1:8" x14ac:dyDescent="0.2">
      <c r="A134">
        <v>24510270703</v>
      </c>
      <c r="B134" t="s">
        <v>10</v>
      </c>
      <c r="C134">
        <v>49708</v>
      </c>
      <c r="D134">
        <v>8.1900000000000001E-2</v>
      </c>
      <c r="E134">
        <v>0.125</v>
      </c>
      <c r="F134">
        <v>0.44409999999999999</v>
      </c>
      <c r="G134">
        <v>945</v>
      </c>
      <c r="H134">
        <v>7.0699999999999999E-2</v>
      </c>
    </row>
    <row r="135" spans="1:8" x14ac:dyDescent="0.2">
      <c r="A135">
        <v>24510270801</v>
      </c>
      <c r="B135" t="s">
        <v>44</v>
      </c>
      <c r="C135">
        <v>29990</v>
      </c>
      <c r="D135">
        <v>0.188</v>
      </c>
      <c r="E135">
        <v>0.3029</v>
      </c>
      <c r="F135">
        <v>0.20649999999999999</v>
      </c>
      <c r="G135">
        <v>1231</v>
      </c>
      <c r="H135">
        <v>0.60119999999999996</v>
      </c>
    </row>
    <row r="136" spans="1:8" x14ac:dyDescent="0.2">
      <c r="A136">
        <v>24510270802</v>
      </c>
      <c r="B136" t="s">
        <v>38</v>
      </c>
      <c r="C136">
        <v>31168</v>
      </c>
      <c r="D136">
        <v>0.15909999999999999</v>
      </c>
      <c r="E136">
        <v>0.39050000000000001</v>
      </c>
      <c r="F136">
        <v>0.1855</v>
      </c>
      <c r="G136">
        <v>896</v>
      </c>
      <c r="H136">
        <v>0.625</v>
      </c>
    </row>
    <row r="137" spans="1:8" x14ac:dyDescent="0.2">
      <c r="A137">
        <v>24510270803</v>
      </c>
      <c r="B137" t="s">
        <v>41</v>
      </c>
      <c r="C137">
        <v>30166</v>
      </c>
      <c r="D137">
        <v>0.14099999999999999</v>
      </c>
      <c r="E137">
        <v>0.36890000000000001</v>
      </c>
      <c r="F137">
        <v>0.2029</v>
      </c>
      <c r="G137">
        <v>1065</v>
      </c>
      <c r="H137">
        <v>0.48859999999999998</v>
      </c>
    </row>
    <row r="138" spans="1:8" x14ac:dyDescent="0.2">
      <c r="A138">
        <v>24510270804</v>
      </c>
      <c r="B138" t="s">
        <v>15</v>
      </c>
      <c r="C138">
        <v>41890</v>
      </c>
      <c r="D138">
        <v>0.18390000000000001</v>
      </c>
      <c r="E138">
        <v>0.24329999999999999</v>
      </c>
      <c r="F138">
        <v>0.40029999999999999</v>
      </c>
      <c r="G138">
        <v>956</v>
      </c>
      <c r="H138">
        <v>0.45450000000000002</v>
      </c>
    </row>
    <row r="139" spans="1:8" x14ac:dyDescent="0.2">
      <c r="A139">
        <v>24510270805</v>
      </c>
      <c r="B139" t="s">
        <v>48</v>
      </c>
      <c r="C139">
        <v>28019</v>
      </c>
      <c r="D139">
        <v>0.11260000000000001</v>
      </c>
      <c r="E139">
        <v>0.37730000000000002</v>
      </c>
      <c r="F139">
        <v>0.14990000000000001</v>
      </c>
      <c r="G139">
        <v>933</v>
      </c>
      <c r="H139">
        <v>0.69189999999999996</v>
      </c>
    </row>
    <row r="140" spans="1:8" x14ac:dyDescent="0.2">
      <c r="A140">
        <v>24510270901</v>
      </c>
      <c r="B140" t="s">
        <v>47</v>
      </c>
      <c r="C140">
        <v>28134</v>
      </c>
      <c r="D140">
        <v>0.1056</v>
      </c>
      <c r="E140">
        <v>0.44019999999999998</v>
      </c>
      <c r="F140">
        <v>0.12189999999999999</v>
      </c>
      <c r="G140">
        <v>968</v>
      </c>
      <c r="H140">
        <v>0.45040000000000002</v>
      </c>
    </row>
    <row r="141" spans="1:8" x14ac:dyDescent="0.2">
      <c r="A141">
        <v>24510270902</v>
      </c>
      <c r="B141" t="s">
        <v>45</v>
      </c>
      <c r="C141">
        <v>29687</v>
      </c>
      <c r="D141">
        <v>8.9899999999999994E-2</v>
      </c>
      <c r="E141">
        <v>0.3614</v>
      </c>
      <c r="F141">
        <v>0.17199999999999999</v>
      </c>
      <c r="G141">
        <v>1360</v>
      </c>
      <c r="H141">
        <v>0.75660000000000005</v>
      </c>
    </row>
    <row r="142" spans="1:8" x14ac:dyDescent="0.2">
      <c r="A142">
        <v>24510270903</v>
      </c>
      <c r="B142" t="s">
        <v>35</v>
      </c>
      <c r="C142">
        <v>32121</v>
      </c>
      <c r="D142">
        <v>0.19550000000000001</v>
      </c>
      <c r="E142">
        <v>0.34520000000000001</v>
      </c>
      <c r="F142">
        <v>0.21629999999999999</v>
      </c>
      <c r="G142">
        <v>935</v>
      </c>
      <c r="H142">
        <v>0.69789999999999996</v>
      </c>
    </row>
    <row r="143" spans="1:8" x14ac:dyDescent="0.2">
      <c r="A143">
        <v>24510271001</v>
      </c>
      <c r="B143" t="s">
        <v>9</v>
      </c>
      <c r="C143">
        <v>20760</v>
      </c>
      <c r="D143">
        <v>0.2046</v>
      </c>
      <c r="E143">
        <v>0.53269999999999995</v>
      </c>
      <c r="F143">
        <v>0.1085</v>
      </c>
      <c r="G143">
        <v>859</v>
      </c>
      <c r="H143">
        <v>0.85909999999999997</v>
      </c>
    </row>
    <row r="144" spans="1:8" x14ac:dyDescent="0.2">
      <c r="A144">
        <v>24510271002</v>
      </c>
      <c r="B144" t="s">
        <v>62</v>
      </c>
      <c r="C144">
        <v>24373</v>
      </c>
      <c r="D144">
        <v>0.35759999999999997</v>
      </c>
      <c r="E144">
        <v>0.48</v>
      </c>
      <c r="F144">
        <v>0.11269999999999999</v>
      </c>
      <c r="G144">
        <v>881</v>
      </c>
      <c r="H144">
        <v>0.87060000000000004</v>
      </c>
    </row>
    <row r="145" spans="1:8" x14ac:dyDescent="0.2">
      <c r="A145">
        <v>24510271101</v>
      </c>
      <c r="B145" t="s">
        <v>19</v>
      </c>
      <c r="C145">
        <v>39299</v>
      </c>
      <c r="D145">
        <v>0.27389999999999998</v>
      </c>
      <c r="E145">
        <v>0.1457</v>
      </c>
      <c r="F145">
        <v>0.38390000000000002</v>
      </c>
      <c r="G145">
        <v>847</v>
      </c>
      <c r="H145">
        <v>0.36299999999999999</v>
      </c>
    </row>
    <row r="146" spans="1:8" x14ac:dyDescent="0.2">
      <c r="A146">
        <v>24510271102</v>
      </c>
      <c r="B146" t="s">
        <v>6</v>
      </c>
      <c r="C146">
        <v>62714</v>
      </c>
      <c r="D146">
        <v>2.9700000000000001E-2</v>
      </c>
      <c r="E146">
        <v>9.3299999999999994E-2</v>
      </c>
      <c r="F146">
        <v>0.57050000000000001</v>
      </c>
      <c r="G146">
        <v>0</v>
      </c>
      <c r="H146">
        <v>7.2400000000000006E-2</v>
      </c>
    </row>
    <row r="147" spans="1:8" x14ac:dyDescent="0.2">
      <c r="A147">
        <v>24510271200</v>
      </c>
      <c r="B147" t="s">
        <v>5</v>
      </c>
      <c r="C147">
        <v>66907</v>
      </c>
      <c r="D147">
        <v>6.2100000000000002E-2</v>
      </c>
      <c r="E147">
        <v>2.5100000000000001E-2</v>
      </c>
      <c r="F147">
        <v>0.55079999999999996</v>
      </c>
      <c r="G147">
        <v>980</v>
      </c>
      <c r="H147">
        <v>9.8900000000000002E-2</v>
      </c>
    </row>
    <row r="148" spans="1:8" x14ac:dyDescent="0.2">
      <c r="A148">
        <v>24510271300</v>
      </c>
      <c r="B148" t="s">
        <v>4</v>
      </c>
      <c r="C148">
        <v>68340</v>
      </c>
      <c r="D148">
        <v>6.2700000000000006E-2</v>
      </c>
      <c r="E148">
        <v>1.0800000000000001E-2</v>
      </c>
      <c r="F148">
        <v>0.62260000000000004</v>
      </c>
      <c r="G148">
        <v>1248</v>
      </c>
      <c r="H148">
        <v>9.7900000000000001E-2</v>
      </c>
    </row>
    <row r="149" spans="1:8" x14ac:dyDescent="0.2">
      <c r="A149">
        <v>24510271400</v>
      </c>
      <c r="B149" t="s">
        <v>2</v>
      </c>
      <c r="C149">
        <v>71859</v>
      </c>
      <c r="D149">
        <v>9.7500000000000003E-2</v>
      </c>
      <c r="E149">
        <v>1.7899999999999999E-2</v>
      </c>
      <c r="F149">
        <v>0.61580000000000001</v>
      </c>
      <c r="G149">
        <v>1304</v>
      </c>
      <c r="H149">
        <v>0.2205</v>
      </c>
    </row>
    <row r="150" spans="1:8" x14ac:dyDescent="0.2">
      <c r="A150">
        <v>24510271501</v>
      </c>
      <c r="B150" t="s">
        <v>3</v>
      </c>
      <c r="C150">
        <v>69634</v>
      </c>
      <c r="D150">
        <v>7.9899999999999999E-2</v>
      </c>
      <c r="E150">
        <v>9.7999999999999997E-3</v>
      </c>
      <c r="F150">
        <v>0.53690000000000004</v>
      </c>
      <c r="G150">
        <v>1212</v>
      </c>
      <c r="H150">
        <v>0.1426</v>
      </c>
    </row>
    <row r="151" spans="1:8" x14ac:dyDescent="0.2">
      <c r="A151">
        <v>24510271503</v>
      </c>
      <c r="B151" t="s">
        <v>13</v>
      </c>
      <c r="C151">
        <v>46668</v>
      </c>
      <c r="D151">
        <v>4.5600000000000002E-2</v>
      </c>
      <c r="E151">
        <v>0.41039999999999999</v>
      </c>
      <c r="F151">
        <v>0.3296</v>
      </c>
      <c r="G151">
        <v>1289</v>
      </c>
      <c r="H151">
        <v>0.31030000000000002</v>
      </c>
    </row>
    <row r="152" spans="1:8" x14ac:dyDescent="0.2">
      <c r="A152">
        <v>24510271600</v>
      </c>
      <c r="B152" t="s">
        <v>85</v>
      </c>
      <c r="C152">
        <v>21588</v>
      </c>
      <c r="D152">
        <v>0.34439999999999998</v>
      </c>
      <c r="E152">
        <v>0.50329999999999997</v>
      </c>
      <c r="F152">
        <v>7.8700000000000006E-2</v>
      </c>
      <c r="G152">
        <v>932</v>
      </c>
      <c r="H152">
        <v>0.75780000000000003</v>
      </c>
    </row>
    <row r="153" spans="1:8" x14ac:dyDescent="0.2">
      <c r="A153">
        <v>24510271700</v>
      </c>
      <c r="B153" t="s">
        <v>67</v>
      </c>
      <c r="C153">
        <v>23612</v>
      </c>
      <c r="D153">
        <v>0.187</v>
      </c>
      <c r="E153">
        <v>0.44550000000000001</v>
      </c>
      <c r="F153">
        <v>0.1019</v>
      </c>
      <c r="G153">
        <v>987</v>
      </c>
      <c r="H153">
        <v>0.49059999999999998</v>
      </c>
    </row>
    <row r="154" spans="1:8" x14ac:dyDescent="0.2">
      <c r="A154">
        <v>24510271801</v>
      </c>
      <c r="B154" t="s">
        <v>74</v>
      </c>
      <c r="C154">
        <v>22834</v>
      </c>
      <c r="D154">
        <v>0.33710000000000001</v>
      </c>
      <c r="E154">
        <v>0.50460000000000005</v>
      </c>
      <c r="F154">
        <v>8.8900000000000007E-2</v>
      </c>
      <c r="G154">
        <v>642</v>
      </c>
      <c r="H154">
        <v>0.83250000000000002</v>
      </c>
    </row>
    <row r="155" spans="1:8" x14ac:dyDescent="0.2">
      <c r="A155">
        <v>24510271802</v>
      </c>
      <c r="B155" t="s">
        <v>90</v>
      </c>
      <c r="C155">
        <v>20829</v>
      </c>
      <c r="D155">
        <v>0.3483</v>
      </c>
      <c r="E155">
        <v>0.59660000000000002</v>
      </c>
      <c r="F155">
        <v>9.9299999999999999E-2</v>
      </c>
      <c r="G155">
        <v>950</v>
      </c>
      <c r="H155">
        <v>0.95179999999999998</v>
      </c>
    </row>
    <row r="156" spans="1:8" x14ac:dyDescent="0.2">
      <c r="A156">
        <v>24510271900</v>
      </c>
      <c r="B156" t="s">
        <v>21</v>
      </c>
      <c r="C156">
        <v>31367</v>
      </c>
      <c r="D156">
        <v>0.2616</v>
      </c>
      <c r="E156">
        <v>0.32200000000000001</v>
      </c>
      <c r="F156">
        <v>0.25659999999999999</v>
      </c>
      <c r="G156">
        <v>920</v>
      </c>
      <c r="H156">
        <v>0.43940000000000001</v>
      </c>
    </row>
    <row r="157" spans="1:8" x14ac:dyDescent="0.2">
      <c r="A157">
        <v>24510272003</v>
      </c>
      <c r="B157" t="s">
        <v>9</v>
      </c>
      <c r="C157">
        <v>43493</v>
      </c>
      <c r="D157">
        <v>5.1499999999999997E-2</v>
      </c>
      <c r="E157">
        <v>0.14219999999999999</v>
      </c>
      <c r="F157">
        <v>0.48099999999999998</v>
      </c>
      <c r="G157">
        <v>1130</v>
      </c>
      <c r="H157">
        <v>0.40100000000000002</v>
      </c>
    </row>
    <row r="158" spans="1:8" x14ac:dyDescent="0.2">
      <c r="A158">
        <v>24510272004</v>
      </c>
      <c r="B158" t="s">
        <v>11</v>
      </c>
      <c r="C158">
        <v>48007</v>
      </c>
      <c r="D158">
        <v>0.10150000000000001</v>
      </c>
      <c r="E158">
        <v>4.3700000000000003E-2</v>
      </c>
      <c r="F158">
        <v>0.59470000000000001</v>
      </c>
      <c r="G158">
        <v>1100</v>
      </c>
      <c r="H158">
        <v>0.15409999999999999</v>
      </c>
    </row>
    <row r="159" spans="1:8" x14ac:dyDescent="0.2">
      <c r="A159">
        <v>24510272005</v>
      </c>
      <c r="B159" t="s">
        <v>8</v>
      </c>
      <c r="C159">
        <v>53447</v>
      </c>
      <c r="D159">
        <v>0.1845</v>
      </c>
      <c r="E159">
        <v>5.8500000000000003E-2</v>
      </c>
      <c r="F159">
        <v>0.67430000000000001</v>
      </c>
      <c r="G159">
        <v>1140</v>
      </c>
      <c r="H159">
        <v>0.125</v>
      </c>
    </row>
    <row r="160" spans="1:8" x14ac:dyDescent="0.2">
      <c r="A160">
        <v>24510272006</v>
      </c>
      <c r="B160" t="s">
        <v>21</v>
      </c>
      <c r="C160">
        <v>39001</v>
      </c>
      <c r="D160">
        <v>0.1963</v>
      </c>
      <c r="E160">
        <v>0.24429999999999999</v>
      </c>
      <c r="F160">
        <v>0.4803</v>
      </c>
      <c r="G160">
        <v>852</v>
      </c>
      <c r="H160">
        <v>0.39050000000000001</v>
      </c>
    </row>
    <row r="161" spans="1:8" x14ac:dyDescent="0.2">
      <c r="A161">
        <v>24510272007</v>
      </c>
      <c r="B161" t="s">
        <v>25</v>
      </c>
      <c r="C161">
        <v>38111</v>
      </c>
      <c r="D161">
        <v>0.23449999999999999</v>
      </c>
      <c r="E161">
        <v>0.19739999999999999</v>
      </c>
      <c r="F161">
        <v>0.39989999999999998</v>
      </c>
      <c r="G161">
        <v>1105</v>
      </c>
      <c r="H161">
        <v>0.5746</v>
      </c>
    </row>
    <row r="162" spans="1:8" x14ac:dyDescent="0.2">
      <c r="A162">
        <v>24510280101</v>
      </c>
      <c r="B162" t="s">
        <v>64</v>
      </c>
      <c r="C162">
        <v>23921</v>
      </c>
      <c r="D162">
        <v>0.3105</v>
      </c>
      <c r="E162">
        <v>0.38819999999999999</v>
      </c>
      <c r="F162">
        <v>0.12889999999999999</v>
      </c>
      <c r="G162">
        <v>1116</v>
      </c>
      <c r="H162">
        <v>0.6008</v>
      </c>
    </row>
    <row r="163" spans="1:8" x14ac:dyDescent="0.2">
      <c r="A163">
        <v>24510280102</v>
      </c>
      <c r="B163" t="s">
        <v>49</v>
      </c>
      <c r="C163">
        <v>25637</v>
      </c>
      <c r="D163">
        <v>0.2213</v>
      </c>
      <c r="E163">
        <v>0.35449999999999998</v>
      </c>
      <c r="F163">
        <v>0.16120000000000001</v>
      </c>
      <c r="G163">
        <v>902</v>
      </c>
      <c r="H163">
        <v>0.59009999999999996</v>
      </c>
    </row>
    <row r="164" spans="1:8" x14ac:dyDescent="0.2">
      <c r="A164">
        <v>24510280200</v>
      </c>
      <c r="B164" t="s">
        <v>49</v>
      </c>
      <c r="C164">
        <v>27936</v>
      </c>
      <c r="D164">
        <v>0.23469999999999999</v>
      </c>
      <c r="E164">
        <v>0.45190000000000002</v>
      </c>
      <c r="F164">
        <v>0.14380000000000001</v>
      </c>
      <c r="G164">
        <v>991</v>
      </c>
      <c r="H164">
        <v>0.58109999999999995</v>
      </c>
    </row>
    <row r="165" spans="1:8" x14ac:dyDescent="0.2">
      <c r="A165">
        <v>24510280301</v>
      </c>
      <c r="B165" t="s">
        <v>49</v>
      </c>
      <c r="C165">
        <v>27223</v>
      </c>
      <c r="D165">
        <v>0.25430000000000003</v>
      </c>
      <c r="E165">
        <v>0.46639999999999998</v>
      </c>
      <c r="F165">
        <v>0.1424</v>
      </c>
      <c r="G165">
        <v>1001</v>
      </c>
      <c r="H165">
        <v>0.79620000000000002</v>
      </c>
    </row>
    <row r="166" spans="1:8" x14ac:dyDescent="0.2">
      <c r="A166">
        <v>24510280302</v>
      </c>
      <c r="B166" t="s">
        <v>54</v>
      </c>
      <c r="C166">
        <v>26262</v>
      </c>
      <c r="D166">
        <v>0.24690000000000001</v>
      </c>
      <c r="E166">
        <v>0.30430000000000001</v>
      </c>
      <c r="F166">
        <v>0.15720000000000001</v>
      </c>
      <c r="G166">
        <v>959</v>
      </c>
      <c r="H166">
        <v>0.86350000000000005</v>
      </c>
    </row>
    <row r="167" spans="1:8" x14ac:dyDescent="0.2">
      <c r="A167">
        <v>24510280401</v>
      </c>
      <c r="B167" t="s">
        <v>9</v>
      </c>
      <c r="C167">
        <v>31896</v>
      </c>
      <c r="D167">
        <v>0.121</v>
      </c>
      <c r="E167">
        <v>0.28670000000000001</v>
      </c>
      <c r="F167">
        <v>0.1618</v>
      </c>
      <c r="G167">
        <v>798</v>
      </c>
      <c r="H167">
        <v>0.34870000000000001</v>
      </c>
    </row>
    <row r="168" spans="1:8" x14ac:dyDescent="0.2">
      <c r="A168">
        <v>24510280402</v>
      </c>
      <c r="B168" t="s">
        <v>51</v>
      </c>
      <c r="C168">
        <v>27472</v>
      </c>
      <c r="D168">
        <v>8.48E-2</v>
      </c>
      <c r="E168">
        <v>0.40550000000000003</v>
      </c>
      <c r="F168">
        <v>0.19409999999999999</v>
      </c>
      <c r="G168">
        <v>1369</v>
      </c>
      <c r="H168">
        <v>0.5242</v>
      </c>
    </row>
    <row r="169" spans="1:8" x14ac:dyDescent="0.2">
      <c r="A169">
        <v>24510280403</v>
      </c>
      <c r="B169" t="s">
        <v>26</v>
      </c>
      <c r="C169">
        <v>37885</v>
      </c>
      <c r="D169">
        <v>6.9400000000000003E-2</v>
      </c>
      <c r="E169">
        <v>0.2863</v>
      </c>
      <c r="F169">
        <v>0.25979999999999998</v>
      </c>
      <c r="G169">
        <v>1003</v>
      </c>
      <c r="H169">
        <v>0.58979999999999999</v>
      </c>
    </row>
    <row r="170" spans="1:8" x14ac:dyDescent="0.2">
      <c r="A170">
        <v>24510280404</v>
      </c>
      <c r="B170" t="s">
        <v>53</v>
      </c>
      <c r="C170">
        <v>26152</v>
      </c>
      <c r="D170">
        <v>0.25380000000000003</v>
      </c>
      <c r="E170">
        <v>0.43099999999999999</v>
      </c>
      <c r="F170">
        <v>9.8000000000000004E-2</v>
      </c>
      <c r="G170">
        <v>470</v>
      </c>
      <c r="H170">
        <v>0.90439999999999998</v>
      </c>
    </row>
    <row r="171" spans="1:8" x14ac:dyDescent="0.2">
      <c r="A171">
        <v>24510280500</v>
      </c>
      <c r="B171" t="s">
        <v>110</v>
      </c>
      <c r="C171">
        <v>18192</v>
      </c>
      <c r="D171">
        <v>0.68520000000000003</v>
      </c>
      <c r="E171">
        <v>0.65959999999999996</v>
      </c>
      <c r="F171">
        <v>4.2000000000000003E-2</v>
      </c>
      <c r="G171">
        <v>265</v>
      </c>
      <c r="H171">
        <v>0.90869999999999995</v>
      </c>
    </row>
    <row r="172" spans="1:8" x14ac:dyDescent="0.2">
      <c r="A172">
        <v>24003750101</v>
      </c>
      <c r="B172" t="s">
        <v>115</v>
      </c>
      <c r="C172">
        <v>34081</v>
      </c>
      <c r="D172">
        <v>0.24010000000000001</v>
      </c>
      <c r="E172">
        <v>0.29520000000000002</v>
      </c>
      <c r="F172">
        <v>0.36730000000000002</v>
      </c>
      <c r="G172">
        <v>1118</v>
      </c>
      <c r="H172">
        <v>0.3599</v>
      </c>
    </row>
    <row r="173" spans="1:8" x14ac:dyDescent="0.2">
      <c r="A173">
        <v>24003750102</v>
      </c>
      <c r="B173" t="s">
        <v>9</v>
      </c>
      <c r="C173">
        <v>35359</v>
      </c>
      <c r="D173">
        <v>0.1913</v>
      </c>
      <c r="E173">
        <v>0.30349999999999999</v>
      </c>
      <c r="F173">
        <v>0.41010000000000002</v>
      </c>
      <c r="G173">
        <v>1299</v>
      </c>
      <c r="H173">
        <v>0.4365</v>
      </c>
    </row>
    <row r="174" spans="1:8" x14ac:dyDescent="0.2">
      <c r="A174">
        <v>24003750201</v>
      </c>
      <c r="B174" t="s">
        <v>116</v>
      </c>
      <c r="C174">
        <v>37194</v>
      </c>
      <c r="D174">
        <v>0.158</v>
      </c>
      <c r="E174">
        <v>0.24660000000000001</v>
      </c>
      <c r="F174">
        <v>0.35780000000000001</v>
      </c>
      <c r="G174">
        <v>1120</v>
      </c>
      <c r="H174">
        <v>0.58499999999999996</v>
      </c>
    </row>
    <row r="175" spans="1:8" x14ac:dyDescent="0.2">
      <c r="A175">
        <v>24003750202</v>
      </c>
      <c r="B175" t="s">
        <v>115</v>
      </c>
      <c r="C175">
        <v>44262</v>
      </c>
      <c r="D175">
        <v>0.1193</v>
      </c>
      <c r="E175">
        <v>0.21990000000000001</v>
      </c>
      <c r="F175">
        <v>0.54630000000000001</v>
      </c>
      <c r="G175">
        <v>971</v>
      </c>
      <c r="H175">
        <v>0.14460000000000001</v>
      </c>
    </row>
    <row r="176" spans="1:8" x14ac:dyDescent="0.2">
      <c r="A176">
        <v>24003750203</v>
      </c>
      <c r="B176" t="s">
        <v>9</v>
      </c>
      <c r="C176">
        <v>37879</v>
      </c>
      <c r="D176">
        <v>2.9899999999999999E-2</v>
      </c>
      <c r="E176">
        <v>0.33050000000000002</v>
      </c>
      <c r="F176">
        <v>0.40860000000000002</v>
      </c>
      <c r="G176">
        <v>1594</v>
      </c>
      <c r="H176">
        <v>0.16869999999999999</v>
      </c>
    </row>
    <row r="177" spans="1:8" x14ac:dyDescent="0.2">
      <c r="A177">
        <v>24003750300</v>
      </c>
      <c r="B177" t="s">
        <v>117</v>
      </c>
      <c r="C177">
        <v>47265</v>
      </c>
      <c r="D177">
        <v>0.124</v>
      </c>
      <c r="E177">
        <v>0.19420000000000001</v>
      </c>
      <c r="F177">
        <v>0.48749999999999999</v>
      </c>
      <c r="G177">
        <v>1349</v>
      </c>
      <c r="H177">
        <v>0.1694</v>
      </c>
    </row>
    <row r="178" spans="1:8" x14ac:dyDescent="0.2">
      <c r="A178">
        <v>24003751200</v>
      </c>
      <c r="B178" t="s">
        <v>117</v>
      </c>
      <c r="C178">
        <v>51090</v>
      </c>
      <c r="D178">
        <v>8.2100000000000006E-2</v>
      </c>
      <c r="E178">
        <v>0.1149</v>
      </c>
      <c r="F178">
        <v>0.59060000000000001</v>
      </c>
      <c r="G178">
        <v>925</v>
      </c>
      <c r="H178">
        <v>0.1714</v>
      </c>
    </row>
    <row r="179" spans="1:8" x14ac:dyDescent="0.2">
      <c r="A179">
        <v>24005400100</v>
      </c>
      <c r="B179" t="s">
        <v>118</v>
      </c>
      <c r="C179">
        <v>53078</v>
      </c>
      <c r="D179">
        <v>6.54E-2</v>
      </c>
      <c r="E179">
        <v>0.1113</v>
      </c>
      <c r="F179">
        <v>0.52490000000000003</v>
      </c>
      <c r="G179">
        <v>1842</v>
      </c>
      <c r="H179">
        <v>0.1217</v>
      </c>
    </row>
    <row r="180" spans="1:8" x14ac:dyDescent="0.2">
      <c r="A180">
        <v>24005400200</v>
      </c>
      <c r="B180" t="s">
        <v>118</v>
      </c>
      <c r="C180">
        <v>49112</v>
      </c>
      <c r="D180">
        <v>0.13650000000000001</v>
      </c>
      <c r="E180">
        <v>0.10489999999999999</v>
      </c>
      <c r="F180">
        <v>0.48580000000000001</v>
      </c>
      <c r="G180">
        <v>1065</v>
      </c>
      <c r="H180">
        <v>0.51829999999999998</v>
      </c>
    </row>
    <row r="181" spans="1:8" x14ac:dyDescent="0.2">
      <c r="A181">
        <v>24005430101</v>
      </c>
      <c r="B181" t="s">
        <v>119</v>
      </c>
      <c r="C181">
        <v>31213</v>
      </c>
      <c r="D181">
        <v>0.3044</v>
      </c>
      <c r="E181">
        <v>0.32600000000000001</v>
      </c>
      <c r="F181">
        <v>0.33160000000000001</v>
      </c>
      <c r="G181">
        <v>1039</v>
      </c>
      <c r="H181">
        <v>0.48220000000000002</v>
      </c>
    </row>
    <row r="182" spans="1:8" x14ac:dyDescent="0.2">
      <c r="A182">
        <v>24005430104</v>
      </c>
      <c r="B182" t="s">
        <v>120</v>
      </c>
      <c r="C182">
        <v>40272</v>
      </c>
      <c r="D182">
        <v>0.1027</v>
      </c>
      <c r="E182">
        <v>0.18590000000000001</v>
      </c>
      <c r="F182">
        <v>0.4572</v>
      </c>
      <c r="G182">
        <v>1554</v>
      </c>
      <c r="H182">
        <v>0.38100000000000001</v>
      </c>
    </row>
    <row r="183" spans="1:8" x14ac:dyDescent="0.2">
      <c r="A183">
        <v>24005430200</v>
      </c>
      <c r="B183" t="s">
        <v>119</v>
      </c>
      <c r="C183">
        <v>39123</v>
      </c>
      <c r="D183">
        <v>0.11600000000000001</v>
      </c>
      <c r="E183">
        <v>0.22289999999999999</v>
      </c>
      <c r="F183">
        <v>0.46329999999999999</v>
      </c>
      <c r="G183">
        <v>1072</v>
      </c>
      <c r="H183">
        <v>0.5534</v>
      </c>
    </row>
    <row r="184" spans="1:8" x14ac:dyDescent="0.2">
      <c r="A184">
        <v>24005430300</v>
      </c>
      <c r="B184" t="s">
        <v>120</v>
      </c>
      <c r="C184">
        <v>33057</v>
      </c>
      <c r="D184">
        <v>0.316</v>
      </c>
      <c r="E184">
        <v>0.26200000000000001</v>
      </c>
      <c r="F184">
        <v>0.36990000000000001</v>
      </c>
      <c r="G184">
        <v>1073</v>
      </c>
      <c r="H184">
        <v>0.78249999999999997</v>
      </c>
    </row>
    <row r="185" spans="1:8" x14ac:dyDescent="0.2">
      <c r="A185">
        <v>24005430400</v>
      </c>
      <c r="B185" t="s">
        <v>121</v>
      </c>
      <c r="C185">
        <v>49576</v>
      </c>
      <c r="D185">
        <v>0.14710000000000001</v>
      </c>
      <c r="E185">
        <v>0.17380000000000001</v>
      </c>
      <c r="F185">
        <v>0.55430000000000001</v>
      </c>
      <c r="G185">
        <v>1071</v>
      </c>
      <c r="H185">
        <v>0.17699999999999999</v>
      </c>
    </row>
    <row r="186" spans="1:8" x14ac:dyDescent="0.2">
      <c r="A186">
        <v>24005430600</v>
      </c>
      <c r="B186" t="s">
        <v>122</v>
      </c>
      <c r="C186">
        <v>59646</v>
      </c>
      <c r="D186">
        <v>6.1100000000000002E-2</v>
      </c>
      <c r="E186">
        <v>7.2300000000000003E-2</v>
      </c>
      <c r="F186">
        <v>0.64449999999999996</v>
      </c>
      <c r="G186">
        <v>1175</v>
      </c>
      <c r="H186">
        <v>0.2271</v>
      </c>
    </row>
    <row r="187" spans="1:8" x14ac:dyDescent="0.2">
      <c r="A187">
        <v>24005430700</v>
      </c>
      <c r="B187" t="s">
        <v>121</v>
      </c>
      <c r="C187">
        <v>49150</v>
      </c>
      <c r="D187">
        <v>5.6399999999999999E-2</v>
      </c>
      <c r="E187">
        <v>0.12709999999999999</v>
      </c>
      <c r="F187">
        <v>0.50390000000000001</v>
      </c>
      <c r="G187">
        <v>1604</v>
      </c>
      <c r="H187">
        <v>0.16250000000000001</v>
      </c>
    </row>
    <row r="188" spans="1:8" x14ac:dyDescent="0.2">
      <c r="A188">
        <v>24005430800</v>
      </c>
      <c r="B188" t="s">
        <v>121</v>
      </c>
      <c r="C188">
        <v>45689</v>
      </c>
      <c r="D188">
        <v>8.0699999999999994E-2</v>
      </c>
      <c r="E188">
        <v>0.1535</v>
      </c>
      <c r="F188">
        <v>0.47699999999999998</v>
      </c>
      <c r="G188">
        <v>1141</v>
      </c>
      <c r="H188">
        <v>0.38350000000000001</v>
      </c>
    </row>
    <row r="189" spans="1:8" x14ac:dyDescent="0.2">
      <c r="A189">
        <v>24005430900</v>
      </c>
      <c r="B189" t="s">
        <v>9</v>
      </c>
      <c r="C189">
        <v>40369</v>
      </c>
      <c r="D189">
        <v>0.1678</v>
      </c>
      <c r="E189">
        <v>0.22720000000000001</v>
      </c>
      <c r="F189">
        <v>0.46129999999999999</v>
      </c>
      <c r="G189">
        <v>984</v>
      </c>
      <c r="H189">
        <v>0.45300000000000001</v>
      </c>
    </row>
    <row r="190" spans="1:8" x14ac:dyDescent="0.2">
      <c r="A190">
        <v>24510010100</v>
      </c>
      <c r="B190" t="s">
        <v>17</v>
      </c>
      <c r="C190">
        <v>39259</v>
      </c>
      <c r="D190">
        <v>0.1047</v>
      </c>
      <c r="E190">
        <v>0.23219999999999999</v>
      </c>
      <c r="F190">
        <v>0.46029999999999999</v>
      </c>
      <c r="G190">
        <v>1770</v>
      </c>
      <c r="H190">
        <v>0.31900000000000001</v>
      </c>
    </row>
    <row r="191" spans="1:8" x14ac:dyDescent="0.2">
      <c r="A191">
        <v>24510010400</v>
      </c>
      <c r="B191" t="s">
        <v>17</v>
      </c>
      <c r="C191">
        <v>44105</v>
      </c>
      <c r="D191">
        <v>4.3499999999999997E-2</v>
      </c>
      <c r="E191">
        <v>0.20880000000000001</v>
      </c>
      <c r="F191">
        <v>0.46860000000000002</v>
      </c>
      <c r="G191">
        <v>1796</v>
      </c>
      <c r="H191">
        <v>0</v>
      </c>
    </row>
    <row r="192" spans="1:8" x14ac:dyDescent="0.2">
      <c r="A192">
        <v>24510020300</v>
      </c>
      <c r="B192" t="s">
        <v>123</v>
      </c>
      <c r="C192">
        <v>52863</v>
      </c>
      <c r="D192">
        <v>8.0199999999999994E-2</v>
      </c>
      <c r="E192">
        <v>0.1467</v>
      </c>
      <c r="F192">
        <v>0.36870000000000003</v>
      </c>
      <c r="G192">
        <v>1984</v>
      </c>
      <c r="H192">
        <v>0.27910000000000001</v>
      </c>
    </row>
    <row r="193" spans="1:8" x14ac:dyDescent="0.2">
      <c r="A193">
        <v>24510200500</v>
      </c>
      <c r="B193" t="s">
        <v>124</v>
      </c>
      <c r="C193">
        <v>20019</v>
      </c>
      <c r="D193">
        <v>0.45939999999999998</v>
      </c>
      <c r="E193">
        <v>0.4511</v>
      </c>
      <c r="F193">
        <v>0.2172</v>
      </c>
      <c r="G193">
        <v>879</v>
      </c>
      <c r="H193">
        <v>0.47449999999999998</v>
      </c>
    </row>
    <row r="194" spans="1:8" x14ac:dyDescent="0.2">
      <c r="A194">
        <v>24510210100</v>
      </c>
      <c r="B194" t="s">
        <v>125</v>
      </c>
      <c r="C194">
        <v>19924</v>
      </c>
      <c r="D194">
        <v>0.27229999999999999</v>
      </c>
      <c r="E194">
        <v>0.4264</v>
      </c>
      <c r="F194">
        <v>9.4600000000000004E-2</v>
      </c>
      <c r="G194">
        <v>1341</v>
      </c>
      <c r="H194">
        <v>0.74590000000000001</v>
      </c>
    </row>
    <row r="195" spans="1:8" x14ac:dyDescent="0.2">
      <c r="A195">
        <v>24510210200</v>
      </c>
      <c r="B195" t="s">
        <v>125</v>
      </c>
      <c r="C195">
        <v>25184</v>
      </c>
      <c r="D195">
        <v>0.34250000000000003</v>
      </c>
      <c r="E195">
        <v>0.49469999999999997</v>
      </c>
      <c r="F195">
        <v>0.26340000000000002</v>
      </c>
      <c r="G195">
        <v>1257</v>
      </c>
      <c r="H195">
        <v>0.7772</v>
      </c>
    </row>
    <row r="196" spans="1:8" x14ac:dyDescent="0.2">
      <c r="A196">
        <v>24510230100</v>
      </c>
      <c r="B196" t="s">
        <v>9</v>
      </c>
      <c r="C196">
        <v>21648</v>
      </c>
      <c r="D196">
        <v>0.18160000000000001</v>
      </c>
      <c r="E196">
        <v>0.24</v>
      </c>
      <c r="F196">
        <v>0.23139999999999999</v>
      </c>
      <c r="G196">
        <v>1344</v>
      </c>
      <c r="H196">
        <v>0.56899999999999995</v>
      </c>
    </row>
    <row r="197" spans="1:8" x14ac:dyDescent="0.2">
      <c r="A197">
        <v>24510230200</v>
      </c>
      <c r="B197" t="s">
        <v>126</v>
      </c>
      <c r="C197">
        <v>34584</v>
      </c>
      <c r="D197">
        <v>7.0300000000000001E-2</v>
      </c>
      <c r="E197">
        <v>0.3009</v>
      </c>
      <c r="F197">
        <v>0.46610000000000001</v>
      </c>
      <c r="G197">
        <v>1718</v>
      </c>
      <c r="H197">
        <v>0</v>
      </c>
    </row>
    <row r="198" spans="1:8" x14ac:dyDescent="0.2">
      <c r="A198">
        <v>24510230300</v>
      </c>
      <c r="B198" t="s">
        <v>126</v>
      </c>
      <c r="C198">
        <v>26589</v>
      </c>
      <c r="D198">
        <v>9.35E-2</v>
      </c>
      <c r="E198">
        <v>0.31040000000000001</v>
      </c>
      <c r="F198">
        <v>0.26090000000000002</v>
      </c>
      <c r="G198">
        <v>1802</v>
      </c>
      <c r="H198">
        <v>0.13639999999999999</v>
      </c>
    </row>
    <row r="199" spans="1:8" x14ac:dyDescent="0.2">
      <c r="A199">
        <v>24510240100</v>
      </c>
      <c r="B199" t="s">
        <v>127</v>
      </c>
      <c r="C199">
        <v>41988</v>
      </c>
      <c r="D199">
        <v>4.87E-2</v>
      </c>
      <c r="E199">
        <v>0.25569999999999998</v>
      </c>
      <c r="F199">
        <v>0.4194</v>
      </c>
      <c r="G199">
        <v>1984</v>
      </c>
      <c r="H199">
        <v>0.12709999999999999</v>
      </c>
    </row>
    <row r="200" spans="1:8" x14ac:dyDescent="0.2">
      <c r="A200">
        <v>24510240200</v>
      </c>
      <c r="B200" t="s">
        <v>128</v>
      </c>
      <c r="C200">
        <v>50598</v>
      </c>
      <c r="D200">
        <v>3.0599999999999999E-2</v>
      </c>
      <c r="E200">
        <v>0.1923</v>
      </c>
      <c r="F200">
        <v>0.39290000000000003</v>
      </c>
      <c r="G200">
        <v>2054</v>
      </c>
      <c r="H200">
        <v>8.5900000000000004E-2</v>
      </c>
    </row>
    <row r="201" spans="1:8" x14ac:dyDescent="0.2">
      <c r="A201">
        <v>24510240300</v>
      </c>
      <c r="B201" t="s">
        <v>128</v>
      </c>
      <c r="C201">
        <v>33259</v>
      </c>
      <c r="D201">
        <v>7.6700000000000004E-2</v>
      </c>
      <c r="E201">
        <v>0.20730000000000001</v>
      </c>
      <c r="F201">
        <v>0.33450000000000002</v>
      </c>
      <c r="G201">
        <v>1741</v>
      </c>
      <c r="H201">
        <v>0</v>
      </c>
    </row>
    <row r="202" spans="1:8" x14ac:dyDescent="0.2">
      <c r="A202">
        <v>24510240400</v>
      </c>
      <c r="B202" t="s">
        <v>129</v>
      </c>
      <c r="C202">
        <v>37546</v>
      </c>
      <c r="D202">
        <v>1.6799999999999999E-2</v>
      </c>
      <c r="E202">
        <v>0.24160000000000001</v>
      </c>
      <c r="F202">
        <v>0.43719999999999998</v>
      </c>
      <c r="G202">
        <v>1902</v>
      </c>
      <c r="H202">
        <v>8.6800000000000002E-2</v>
      </c>
    </row>
    <row r="203" spans="1:8" x14ac:dyDescent="0.2">
      <c r="A203">
        <v>24510250101</v>
      </c>
      <c r="B203" t="s">
        <v>130</v>
      </c>
      <c r="C203">
        <v>28901</v>
      </c>
      <c r="D203">
        <v>0.22650000000000001</v>
      </c>
      <c r="E203">
        <v>0.41420000000000001</v>
      </c>
      <c r="F203">
        <v>0.1515</v>
      </c>
      <c r="G203">
        <v>978</v>
      </c>
      <c r="H203">
        <v>0.874</v>
      </c>
    </row>
    <row r="204" spans="1:8" x14ac:dyDescent="0.2">
      <c r="A204">
        <v>24510250102</v>
      </c>
      <c r="B204" t="s">
        <v>131</v>
      </c>
      <c r="C204">
        <v>25562</v>
      </c>
      <c r="D204">
        <v>0.14280000000000001</v>
      </c>
      <c r="E204">
        <v>0.40870000000000001</v>
      </c>
      <c r="F204">
        <v>0.1177</v>
      </c>
      <c r="G204">
        <v>1044</v>
      </c>
      <c r="H204">
        <v>0.8458</v>
      </c>
    </row>
    <row r="205" spans="1:8" x14ac:dyDescent="0.2">
      <c r="A205">
        <v>24510250103</v>
      </c>
      <c r="B205" t="s">
        <v>132</v>
      </c>
      <c r="C205">
        <v>40634</v>
      </c>
      <c r="D205">
        <v>0.1865</v>
      </c>
      <c r="E205">
        <v>0.17810000000000001</v>
      </c>
      <c r="F205">
        <v>0.41880000000000001</v>
      </c>
      <c r="G205">
        <v>594</v>
      </c>
      <c r="H205">
        <v>0.43219999999999997</v>
      </c>
    </row>
    <row r="206" spans="1:8" x14ac:dyDescent="0.2">
      <c r="A206">
        <v>24510250203</v>
      </c>
      <c r="B206" t="s">
        <v>133</v>
      </c>
      <c r="C206">
        <v>21642</v>
      </c>
      <c r="D206">
        <v>0.25990000000000002</v>
      </c>
      <c r="E206">
        <v>0.51390000000000002</v>
      </c>
      <c r="F206">
        <v>0.14599999999999999</v>
      </c>
      <c r="G206">
        <v>1064</v>
      </c>
      <c r="H206">
        <v>0.67889999999999995</v>
      </c>
    </row>
    <row r="207" spans="1:8" x14ac:dyDescent="0.2">
      <c r="A207">
        <v>24510250204</v>
      </c>
      <c r="B207" t="s">
        <v>133</v>
      </c>
      <c r="C207">
        <v>17902</v>
      </c>
      <c r="D207">
        <v>0.6532</v>
      </c>
      <c r="E207">
        <v>0.65610000000000002</v>
      </c>
      <c r="F207">
        <v>0.06</v>
      </c>
      <c r="G207">
        <v>278</v>
      </c>
      <c r="H207">
        <v>0.92759999999999998</v>
      </c>
    </row>
    <row r="208" spans="1:8" x14ac:dyDescent="0.2">
      <c r="A208">
        <v>24510250205</v>
      </c>
      <c r="B208" t="s">
        <v>134</v>
      </c>
      <c r="C208">
        <v>25836</v>
      </c>
      <c r="D208">
        <v>0.16159999999999999</v>
      </c>
      <c r="E208">
        <v>0.36259999999999998</v>
      </c>
      <c r="F208">
        <v>0.23150000000000001</v>
      </c>
      <c r="G208">
        <v>1085</v>
      </c>
      <c r="H208">
        <v>0.59599999999999997</v>
      </c>
    </row>
    <row r="209" spans="1:8" x14ac:dyDescent="0.2">
      <c r="A209">
        <v>24510250206</v>
      </c>
      <c r="B209" t="s">
        <v>135</v>
      </c>
      <c r="C209">
        <v>33943</v>
      </c>
      <c r="D209">
        <v>0.20630000000000001</v>
      </c>
      <c r="E209">
        <v>0.24829999999999999</v>
      </c>
      <c r="F209">
        <v>0.35849999999999999</v>
      </c>
      <c r="G209">
        <v>954</v>
      </c>
      <c r="H209">
        <v>0.21210000000000001</v>
      </c>
    </row>
    <row r="210" spans="1:8" x14ac:dyDescent="0.2">
      <c r="A210">
        <v>24510250207</v>
      </c>
      <c r="B210" t="s">
        <v>133</v>
      </c>
      <c r="C210">
        <v>22207</v>
      </c>
      <c r="D210">
        <v>0.2021</v>
      </c>
      <c r="E210">
        <v>0.504</v>
      </c>
      <c r="F210">
        <v>0.1065</v>
      </c>
      <c r="G210">
        <v>888</v>
      </c>
      <c r="H210">
        <v>0.66220000000000001</v>
      </c>
    </row>
    <row r="211" spans="1:8" x14ac:dyDescent="0.2">
      <c r="A211">
        <v>24510250301</v>
      </c>
      <c r="B211" t="s">
        <v>136</v>
      </c>
      <c r="C211">
        <v>19279</v>
      </c>
      <c r="D211">
        <v>0.33550000000000002</v>
      </c>
      <c r="E211">
        <v>0.52680000000000005</v>
      </c>
      <c r="F211">
        <v>0.13150000000000001</v>
      </c>
      <c r="G211">
        <v>299</v>
      </c>
      <c r="H211">
        <v>1</v>
      </c>
    </row>
    <row r="212" spans="1:8" x14ac:dyDescent="0.2">
      <c r="A212">
        <v>24510250303</v>
      </c>
      <c r="B212" t="s">
        <v>135</v>
      </c>
      <c r="C212">
        <v>31533</v>
      </c>
      <c r="D212">
        <v>0.35549999999999998</v>
      </c>
      <c r="E212">
        <v>0.35339999999999999</v>
      </c>
      <c r="F212">
        <v>0.38750000000000001</v>
      </c>
      <c r="G212">
        <v>940</v>
      </c>
      <c r="H212">
        <v>0.48480000000000001</v>
      </c>
    </row>
    <row r="213" spans="1:8" x14ac:dyDescent="0.2">
      <c r="A213">
        <v>24510250401</v>
      </c>
      <c r="B213" t="s">
        <v>116</v>
      </c>
      <c r="C213">
        <v>31454</v>
      </c>
      <c r="D213">
        <v>0.21990000000000001</v>
      </c>
      <c r="E213">
        <v>0.25419999999999998</v>
      </c>
      <c r="F213">
        <v>0.37009999999999998</v>
      </c>
      <c r="G213">
        <v>967</v>
      </c>
      <c r="H213">
        <v>0.6885</v>
      </c>
    </row>
    <row r="214" spans="1:8" x14ac:dyDescent="0.2">
      <c r="A214">
        <v>24510250402</v>
      </c>
      <c r="B214" t="s">
        <v>116</v>
      </c>
      <c r="C214">
        <v>25348</v>
      </c>
      <c r="D214">
        <v>0.3518</v>
      </c>
      <c r="E214">
        <v>0.4078</v>
      </c>
      <c r="F214">
        <v>0.2681</v>
      </c>
      <c r="G214">
        <v>765</v>
      </c>
      <c r="H214">
        <v>0.62929999999999997</v>
      </c>
    </row>
    <row r="215" spans="1:8" x14ac:dyDescent="0.2">
      <c r="A215">
        <v>24510250500</v>
      </c>
      <c r="B215" t="s">
        <v>137</v>
      </c>
      <c r="C215">
        <v>24644</v>
      </c>
      <c r="D215">
        <v>0.31780000000000003</v>
      </c>
      <c r="E215">
        <v>0.35599999999999998</v>
      </c>
      <c r="F215">
        <v>0.24510000000000001</v>
      </c>
      <c r="G215">
        <v>912</v>
      </c>
      <c r="H215">
        <v>0.65100000000000002</v>
      </c>
    </row>
    <row r="216" spans="1:8" x14ac:dyDescent="0.2">
      <c r="A216">
        <v>24510250600</v>
      </c>
      <c r="B216" t="s">
        <v>116</v>
      </c>
      <c r="C216">
        <v>23009</v>
      </c>
      <c r="D216">
        <v>0</v>
      </c>
      <c r="E216">
        <v>0.4612</v>
      </c>
      <c r="F216">
        <v>0.31619999999999998</v>
      </c>
      <c r="G216">
        <v>0</v>
      </c>
      <c r="H216">
        <v>0</v>
      </c>
    </row>
    <row r="217" spans="1:8" x14ac:dyDescent="0.2">
      <c r="A217">
        <v>24510260604</v>
      </c>
      <c r="B217" t="s">
        <v>138</v>
      </c>
      <c r="C217">
        <v>19532</v>
      </c>
      <c r="D217">
        <v>0.42909999999999998</v>
      </c>
      <c r="E217">
        <v>0.5111</v>
      </c>
      <c r="F217">
        <v>0.17510000000000001</v>
      </c>
      <c r="G217">
        <v>301</v>
      </c>
      <c r="H217">
        <v>0.85599999999999998</v>
      </c>
    </row>
    <row r="218" spans="1:8" x14ac:dyDescent="0.2">
      <c r="A218">
        <v>24510260605</v>
      </c>
      <c r="B218" t="s">
        <v>139</v>
      </c>
      <c r="C218">
        <v>34779</v>
      </c>
      <c r="D218">
        <v>0.26750000000000002</v>
      </c>
      <c r="E218">
        <v>0.29160000000000003</v>
      </c>
      <c r="F218">
        <v>0.43690000000000001</v>
      </c>
      <c r="G218">
        <v>951</v>
      </c>
      <c r="H218">
        <v>0.43630000000000002</v>
      </c>
    </row>
    <row r="219" spans="1:8" x14ac:dyDescent="0.2">
      <c r="A219">
        <v>10005051205</v>
      </c>
      <c r="B219" t="s">
        <v>170</v>
      </c>
      <c r="C219">
        <v>66023</v>
      </c>
      <c r="D219">
        <v>3.73E-2</v>
      </c>
      <c r="E219">
        <v>8.5300000000000001E-2</v>
      </c>
      <c r="F219">
        <v>0.48120000000000002</v>
      </c>
      <c r="G219">
        <v>1108</v>
      </c>
      <c r="H219">
        <v>0</v>
      </c>
    </row>
    <row r="220" spans="1:8" x14ac:dyDescent="0.2">
      <c r="A220">
        <v>10005051102</v>
      </c>
      <c r="B220" t="s">
        <v>171</v>
      </c>
      <c r="C220">
        <v>65613</v>
      </c>
      <c r="D220">
        <v>4.9399999999999999E-2</v>
      </c>
      <c r="E220">
        <v>0.16719999999999999</v>
      </c>
      <c r="F220">
        <v>0.53900000000000003</v>
      </c>
      <c r="G220">
        <v>1118</v>
      </c>
      <c r="H220">
        <v>0.90910000000000002</v>
      </c>
    </row>
    <row r="221" spans="1:8" x14ac:dyDescent="0.2">
      <c r="A221">
        <v>10005051101</v>
      </c>
      <c r="B221" t="s">
        <v>171</v>
      </c>
      <c r="C221">
        <v>64321</v>
      </c>
      <c r="D221">
        <v>7.8600000000000003E-2</v>
      </c>
      <c r="E221">
        <v>0</v>
      </c>
      <c r="F221">
        <v>0.49830000000000002</v>
      </c>
      <c r="G221">
        <v>919</v>
      </c>
      <c r="H221">
        <v>0.16669999999999999</v>
      </c>
    </row>
    <row r="222" spans="1:8" x14ac:dyDescent="0.2">
      <c r="A222">
        <v>10005051301</v>
      </c>
      <c r="B222" t="s">
        <v>172</v>
      </c>
      <c r="C222">
        <v>59174</v>
      </c>
      <c r="D222">
        <v>9.3299999999999994E-2</v>
      </c>
      <c r="E222">
        <v>9.8699999999999996E-2</v>
      </c>
      <c r="F222">
        <v>0.53469999999999995</v>
      </c>
      <c r="G222">
        <v>1150</v>
      </c>
      <c r="H222">
        <v>0.37059999999999998</v>
      </c>
    </row>
    <row r="223" spans="1:8" x14ac:dyDescent="0.2">
      <c r="A223">
        <v>10005050103</v>
      </c>
      <c r="B223" t="s">
        <v>173</v>
      </c>
      <c r="C223">
        <v>57938</v>
      </c>
      <c r="D223">
        <v>5.4600000000000003E-2</v>
      </c>
      <c r="E223">
        <v>0.20730000000000001</v>
      </c>
      <c r="F223">
        <v>0.48039999999999999</v>
      </c>
      <c r="G223">
        <v>1195</v>
      </c>
      <c r="H223">
        <v>0.10059999999999999</v>
      </c>
    </row>
    <row r="224" spans="1:8" x14ac:dyDescent="0.2">
      <c r="A224">
        <v>10005051007</v>
      </c>
      <c r="B224" t="s">
        <v>171</v>
      </c>
      <c r="C224">
        <v>56632</v>
      </c>
      <c r="D224">
        <v>7.1199999999999999E-2</v>
      </c>
      <c r="E224">
        <v>6.8500000000000005E-2</v>
      </c>
      <c r="F224">
        <v>0.51470000000000005</v>
      </c>
      <c r="G224">
        <v>1194</v>
      </c>
      <c r="H224">
        <v>9.3200000000000005E-2</v>
      </c>
    </row>
    <row r="225" spans="1:8" x14ac:dyDescent="0.2">
      <c r="A225">
        <v>10005051004</v>
      </c>
      <c r="B225" t="s">
        <v>174</v>
      </c>
      <c r="C225">
        <v>56399</v>
      </c>
      <c r="D225">
        <v>9.9900000000000003E-2</v>
      </c>
      <c r="E225">
        <v>0.14019999999999999</v>
      </c>
      <c r="F225">
        <v>0.48549999999999999</v>
      </c>
      <c r="G225">
        <v>1198</v>
      </c>
      <c r="H225">
        <v>0.32119999999999999</v>
      </c>
    </row>
    <row r="226" spans="1:8" x14ac:dyDescent="0.2">
      <c r="A226">
        <v>10005050901</v>
      </c>
      <c r="B226" t="s">
        <v>174</v>
      </c>
      <c r="C226">
        <v>54283</v>
      </c>
      <c r="D226">
        <v>5.2600000000000001E-2</v>
      </c>
      <c r="E226">
        <v>1.38E-2</v>
      </c>
      <c r="F226">
        <v>0.5554</v>
      </c>
      <c r="G226">
        <v>1170</v>
      </c>
      <c r="H226">
        <v>0.23780000000000001</v>
      </c>
    </row>
    <row r="227" spans="1:8" x14ac:dyDescent="0.2">
      <c r="A227">
        <v>10005051103</v>
      </c>
      <c r="B227" t="s">
        <v>171</v>
      </c>
      <c r="C227">
        <v>52789</v>
      </c>
      <c r="D227">
        <v>6.7699999999999996E-2</v>
      </c>
      <c r="E227">
        <v>2.7799999999999998E-2</v>
      </c>
      <c r="F227">
        <v>0.47870000000000001</v>
      </c>
      <c r="G227">
        <v>1115</v>
      </c>
      <c r="H227">
        <v>0.1429</v>
      </c>
    </row>
    <row r="228" spans="1:8" x14ac:dyDescent="0.2">
      <c r="A228">
        <v>10005050902</v>
      </c>
      <c r="B228" t="s">
        <v>174</v>
      </c>
      <c r="C228">
        <v>51528</v>
      </c>
      <c r="D228">
        <v>4.9000000000000002E-2</v>
      </c>
      <c r="E228">
        <v>9.5699999999999993E-2</v>
      </c>
      <c r="F228">
        <v>0.4617</v>
      </c>
      <c r="G228">
        <v>1257</v>
      </c>
      <c r="H228">
        <v>0.40889999999999999</v>
      </c>
    </row>
    <row r="229" spans="1:8" x14ac:dyDescent="0.2">
      <c r="A229">
        <v>10005051306</v>
      </c>
      <c r="B229" t="s">
        <v>175</v>
      </c>
      <c r="C229">
        <v>51395</v>
      </c>
      <c r="D229">
        <v>8.5699999999999998E-2</v>
      </c>
      <c r="E229">
        <v>0.19189999999999999</v>
      </c>
      <c r="F229">
        <v>0.55020000000000002</v>
      </c>
      <c r="G229">
        <v>1116</v>
      </c>
      <c r="H229">
        <v>0.14710000000000001</v>
      </c>
    </row>
    <row r="230" spans="1:8" x14ac:dyDescent="0.2">
      <c r="A230">
        <v>10005050405</v>
      </c>
      <c r="B230" t="s">
        <v>176</v>
      </c>
      <c r="C230">
        <v>49824</v>
      </c>
      <c r="D230">
        <v>8.9099999999999999E-2</v>
      </c>
      <c r="E230">
        <v>0.21709999999999999</v>
      </c>
      <c r="F230">
        <v>0.50349999999999995</v>
      </c>
      <c r="G230">
        <v>921</v>
      </c>
      <c r="H230">
        <v>0.55969999999999998</v>
      </c>
    </row>
    <row r="231" spans="1:8" x14ac:dyDescent="0.2">
      <c r="A231">
        <v>10005050101</v>
      </c>
      <c r="B231" t="s">
        <v>173</v>
      </c>
      <c r="C231">
        <v>49807</v>
      </c>
      <c r="D231">
        <v>0.1028</v>
      </c>
      <c r="E231">
        <v>0.12479999999999999</v>
      </c>
      <c r="F231">
        <v>0.4672</v>
      </c>
      <c r="G231">
        <v>1153</v>
      </c>
      <c r="H231">
        <v>0.36880000000000002</v>
      </c>
    </row>
    <row r="232" spans="1:8" x14ac:dyDescent="0.2">
      <c r="A232">
        <v>10005051303</v>
      </c>
      <c r="B232" t="s">
        <v>177</v>
      </c>
      <c r="C232">
        <v>49356</v>
      </c>
      <c r="D232">
        <v>6.0499999999999998E-2</v>
      </c>
      <c r="E232">
        <v>7.2400000000000006E-2</v>
      </c>
      <c r="F232">
        <v>0.4456</v>
      </c>
      <c r="G232">
        <v>1221</v>
      </c>
      <c r="H232">
        <v>0.58250000000000002</v>
      </c>
    </row>
    <row r="233" spans="1:8" x14ac:dyDescent="0.2">
      <c r="A233">
        <v>10005051005</v>
      </c>
      <c r="B233" t="s">
        <v>174</v>
      </c>
      <c r="C233">
        <v>47267</v>
      </c>
      <c r="D233">
        <v>6.83E-2</v>
      </c>
      <c r="E233">
        <v>0.11409999999999999</v>
      </c>
      <c r="F233">
        <v>0.43840000000000001</v>
      </c>
      <c r="G233">
        <v>1386</v>
      </c>
      <c r="H233">
        <v>0.24729999999999999</v>
      </c>
    </row>
    <row r="234" spans="1:8" x14ac:dyDescent="0.2">
      <c r="A234">
        <v>10005050504</v>
      </c>
      <c r="B234" t="s">
        <v>178</v>
      </c>
      <c r="C234">
        <v>46417</v>
      </c>
      <c r="D234">
        <v>0.14069999999999999</v>
      </c>
      <c r="E234">
        <v>0.13669999999999999</v>
      </c>
      <c r="F234">
        <v>0.4244</v>
      </c>
      <c r="G234">
        <v>894</v>
      </c>
      <c r="H234">
        <v>0.34129999999999999</v>
      </c>
    </row>
    <row r="235" spans="1:8" x14ac:dyDescent="0.2">
      <c r="A235">
        <v>10005051201</v>
      </c>
      <c r="B235" t="s">
        <v>177</v>
      </c>
      <c r="C235">
        <v>46103</v>
      </c>
      <c r="D235">
        <v>4.7100000000000003E-2</v>
      </c>
      <c r="E235">
        <v>3.4000000000000002E-2</v>
      </c>
      <c r="F235">
        <v>0.46189999999999998</v>
      </c>
      <c r="G235">
        <v>1116</v>
      </c>
      <c r="H235">
        <v>0.54810000000000003</v>
      </c>
    </row>
    <row r="236" spans="1:8" x14ac:dyDescent="0.2">
      <c r="A236">
        <v>10005050705</v>
      </c>
      <c r="B236" t="s">
        <v>179</v>
      </c>
      <c r="C236">
        <v>46018</v>
      </c>
      <c r="D236">
        <v>8.8800000000000004E-2</v>
      </c>
      <c r="E236">
        <v>0.2218</v>
      </c>
      <c r="F236">
        <v>0.40260000000000001</v>
      </c>
      <c r="G236">
        <v>998</v>
      </c>
      <c r="H236">
        <v>0.57889999999999997</v>
      </c>
    </row>
    <row r="237" spans="1:8" x14ac:dyDescent="0.2">
      <c r="A237">
        <v>10005051006</v>
      </c>
      <c r="B237" t="s">
        <v>174</v>
      </c>
      <c r="C237">
        <v>45896</v>
      </c>
      <c r="D237">
        <v>0.1048</v>
      </c>
      <c r="E237">
        <v>0.13489999999999999</v>
      </c>
      <c r="F237">
        <v>0.52790000000000004</v>
      </c>
      <c r="G237">
        <v>968</v>
      </c>
      <c r="H237">
        <v>0.17530000000000001</v>
      </c>
    </row>
    <row r="238" spans="1:8" x14ac:dyDescent="0.2">
      <c r="A238">
        <v>10001043400</v>
      </c>
      <c r="B238" t="s">
        <v>173</v>
      </c>
      <c r="C238">
        <v>44556</v>
      </c>
      <c r="D238">
        <v>0.114</v>
      </c>
      <c r="E238">
        <v>0.1888</v>
      </c>
      <c r="F238">
        <v>0.42109999999999997</v>
      </c>
      <c r="G238">
        <v>812</v>
      </c>
      <c r="H238">
        <v>0.39150000000000001</v>
      </c>
    </row>
    <row r="239" spans="1:8" x14ac:dyDescent="0.2">
      <c r="A239">
        <v>10005051305</v>
      </c>
      <c r="B239" t="s">
        <v>175</v>
      </c>
      <c r="C239">
        <v>43391</v>
      </c>
      <c r="D239">
        <v>9.4899999999999998E-2</v>
      </c>
      <c r="E239">
        <v>2.5499999999999998E-2</v>
      </c>
      <c r="F239">
        <v>0.4103</v>
      </c>
      <c r="G239">
        <v>1149</v>
      </c>
      <c r="H239">
        <v>0.2432</v>
      </c>
    </row>
    <row r="240" spans="1:8" x14ac:dyDescent="0.2">
      <c r="A240">
        <v>10005050407</v>
      </c>
      <c r="B240" t="s">
        <v>176</v>
      </c>
      <c r="C240">
        <v>43055</v>
      </c>
      <c r="D240">
        <v>0.17810000000000001</v>
      </c>
      <c r="E240">
        <v>0.24929999999999999</v>
      </c>
      <c r="F240">
        <v>0.3891</v>
      </c>
      <c r="G240">
        <v>1001</v>
      </c>
      <c r="H240">
        <v>0.46879999999999999</v>
      </c>
    </row>
    <row r="241" spans="1:8" x14ac:dyDescent="0.2">
      <c r="A241">
        <v>10005051003</v>
      </c>
      <c r="B241" t="s">
        <v>171</v>
      </c>
      <c r="C241">
        <v>42886</v>
      </c>
      <c r="D241">
        <v>6.6299999999999998E-2</v>
      </c>
      <c r="E241">
        <v>0.26889999999999997</v>
      </c>
      <c r="F241">
        <v>0.39629999999999999</v>
      </c>
      <c r="G241">
        <v>1176</v>
      </c>
      <c r="H241">
        <v>0.17899999999999999</v>
      </c>
    </row>
    <row r="242" spans="1:8" x14ac:dyDescent="0.2">
      <c r="A242">
        <v>10005050803</v>
      </c>
      <c r="B242" t="s">
        <v>174</v>
      </c>
      <c r="C242">
        <v>42115</v>
      </c>
      <c r="D242">
        <v>7.0000000000000007E-2</v>
      </c>
      <c r="E242">
        <v>0.13619999999999999</v>
      </c>
      <c r="F242">
        <v>0.39460000000000001</v>
      </c>
      <c r="G242">
        <v>1299</v>
      </c>
      <c r="H242">
        <v>0.15970000000000001</v>
      </c>
    </row>
    <row r="243" spans="1:8" x14ac:dyDescent="0.2">
      <c r="A243">
        <v>10001042900</v>
      </c>
      <c r="B243" t="s">
        <v>180</v>
      </c>
      <c r="C243">
        <v>42077</v>
      </c>
      <c r="D243">
        <v>8.9200000000000002E-2</v>
      </c>
      <c r="E243">
        <v>0.2462</v>
      </c>
      <c r="F243">
        <v>0.46760000000000002</v>
      </c>
      <c r="G243">
        <v>1031</v>
      </c>
      <c r="H243">
        <v>0.14019999999999999</v>
      </c>
    </row>
    <row r="244" spans="1:8" x14ac:dyDescent="0.2">
      <c r="A244">
        <v>10005051702</v>
      </c>
      <c r="B244" t="s">
        <v>181</v>
      </c>
      <c r="C244">
        <v>41893</v>
      </c>
      <c r="D244">
        <v>9.1999999999999998E-2</v>
      </c>
      <c r="E244">
        <v>0.22750000000000001</v>
      </c>
      <c r="F244">
        <v>0.42770000000000002</v>
      </c>
      <c r="G244">
        <v>1032</v>
      </c>
      <c r="H244">
        <v>0.1515</v>
      </c>
    </row>
    <row r="245" spans="1:8" x14ac:dyDescent="0.2">
      <c r="A245">
        <v>10005051701</v>
      </c>
      <c r="B245" t="s">
        <v>181</v>
      </c>
      <c r="C245">
        <v>41666</v>
      </c>
      <c r="D245">
        <v>6.6600000000000006E-2</v>
      </c>
      <c r="E245">
        <v>0.23530000000000001</v>
      </c>
      <c r="F245">
        <v>0.51459999999999995</v>
      </c>
      <c r="G245">
        <v>938</v>
      </c>
      <c r="H245">
        <v>0.28649999999999998</v>
      </c>
    </row>
    <row r="246" spans="1:8" x14ac:dyDescent="0.2">
      <c r="A246">
        <v>10001042800</v>
      </c>
      <c r="B246" t="s">
        <v>182</v>
      </c>
      <c r="C246">
        <v>41621</v>
      </c>
      <c r="D246">
        <v>0.12870000000000001</v>
      </c>
      <c r="E246">
        <v>0.2346</v>
      </c>
      <c r="F246">
        <v>0.47499999999999998</v>
      </c>
      <c r="G246">
        <v>888</v>
      </c>
      <c r="H246">
        <v>0.25719999999999998</v>
      </c>
    </row>
    <row r="247" spans="1:8" x14ac:dyDescent="0.2">
      <c r="A247">
        <v>10005050802</v>
      </c>
      <c r="B247" t="s">
        <v>183</v>
      </c>
      <c r="C247">
        <v>41302</v>
      </c>
      <c r="D247">
        <v>7.7100000000000002E-2</v>
      </c>
      <c r="E247">
        <v>0.1295</v>
      </c>
      <c r="F247">
        <v>0.41610000000000003</v>
      </c>
      <c r="G247">
        <v>1228</v>
      </c>
      <c r="H247">
        <v>0.18329999999999999</v>
      </c>
    </row>
    <row r="248" spans="1:8" x14ac:dyDescent="0.2">
      <c r="A248">
        <v>10005051900</v>
      </c>
      <c r="B248" t="s">
        <v>184</v>
      </c>
      <c r="C248">
        <v>41126</v>
      </c>
      <c r="D248">
        <v>0.1472</v>
      </c>
      <c r="E248">
        <v>0.28649999999999998</v>
      </c>
      <c r="F248">
        <v>0.4446</v>
      </c>
      <c r="G248">
        <v>846</v>
      </c>
      <c r="H248">
        <v>0.47060000000000002</v>
      </c>
    </row>
    <row r="249" spans="1:8" x14ac:dyDescent="0.2">
      <c r="A249">
        <v>10005051801</v>
      </c>
      <c r="B249" t="s">
        <v>185</v>
      </c>
      <c r="C249">
        <v>40111</v>
      </c>
      <c r="D249">
        <v>0.1396</v>
      </c>
      <c r="E249">
        <v>0.20230000000000001</v>
      </c>
      <c r="F249">
        <v>0.50939999999999996</v>
      </c>
      <c r="G249">
        <v>866</v>
      </c>
      <c r="H249">
        <v>0.53910000000000002</v>
      </c>
    </row>
    <row r="250" spans="1:8" x14ac:dyDescent="0.2">
      <c r="A250">
        <v>10001043202</v>
      </c>
      <c r="B250" t="s">
        <v>186</v>
      </c>
      <c r="C250">
        <v>40057</v>
      </c>
      <c r="D250">
        <v>8.6699999999999999E-2</v>
      </c>
      <c r="E250">
        <v>0.2364</v>
      </c>
      <c r="F250">
        <v>0.41239999999999999</v>
      </c>
      <c r="G250">
        <v>868</v>
      </c>
      <c r="H250">
        <v>0.40389999999999998</v>
      </c>
    </row>
    <row r="251" spans="1:8" x14ac:dyDescent="0.2">
      <c r="A251">
        <v>10001043100</v>
      </c>
      <c r="B251" t="s">
        <v>187</v>
      </c>
      <c r="C251">
        <v>40016</v>
      </c>
      <c r="D251">
        <v>0.12540000000000001</v>
      </c>
      <c r="E251">
        <v>0.21149999999999999</v>
      </c>
      <c r="F251">
        <v>0.4718</v>
      </c>
      <c r="G251">
        <v>965</v>
      </c>
      <c r="H251">
        <v>0.35639999999999999</v>
      </c>
    </row>
    <row r="252" spans="1:8" x14ac:dyDescent="0.2">
      <c r="A252">
        <v>10005050501</v>
      </c>
      <c r="B252" t="s">
        <v>178</v>
      </c>
      <c r="C252">
        <v>39958</v>
      </c>
      <c r="D252">
        <v>4.8000000000000001E-2</v>
      </c>
      <c r="E252">
        <v>0.2467</v>
      </c>
      <c r="F252">
        <v>0.41389999999999999</v>
      </c>
      <c r="G252">
        <v>832</v>
      </c>
      <c r="H252">
        <v>0.3125</v>
      </c>
    </row>
    <row r="253" spans="1:8" x14ac:dyDescent="0.2">
      <c r="A253">
        <v>10005050104</v>
      </c>
      <c r="B253" t="s">
        <v>173</v>
      </c>
      <c r="C253">
        <v>39886</v>
      </c>
      <c r="D253">
        <v>0.17810000000000001</v>
      </c>
      <c r="E253">
        <v>0.2102</v>
      </c>
      <c r="F253">
        <v>0.46089999999999998</v>
      </c>
      <c r="G253">
        <v>900</v>
      </c>
      <c r="H253">
        <v>0.33729999999999999</v>
      </c>
    </row>
    <row r="254" spans="1:8" x14ac:dyDescent="0.2">
      <c r="A254">
        <v>10005050302</v>
      </c>
      <c r="B254" t="s">
        <v>188</v>
      </c>
      <c r="C254">
        <v>39467</v>
      </c>
      <c r="D254">
        <v>0.15479999999999999</v>
      </c>
      <c r="E254">
        <v>0.2626</v>
      </c>
      <c r="F254">
        <v>0.43269999999999997</v>
      </c>
      <c r="G254">
        <v>750</v>
      </c>
      <c r="H254">
        <v>0.32369999999999999</v>
      </c>
    </row>
    <row r="255" spans="1:8" x14ac:dyDescent="0.2">
      <c r="A255">
        <v>10005051500</v>
      </c>
      <c r="B255" t="s">
        <v>172</v>
      </c>
      <c r="C255">
        <v>39463</v>
      </c>
      <c r="D255">
        <v>0.1129</v>
      </c>
      <c r="E255">
        <v>0.27589999999999998</v>
      </c>
      <c r="F255">
        <v>0.31459999999999999</v>
      </c>
      <c r="G255">
        <v>892</v>
      </c>
      <c r="H255">
        <v>0.39040000000000002</v>
      </c>
    </row>
    <row r="256" spans="1:8" x14ac:dyDescent="0.2">
      <c r="A256">
        <v>10005050503</v>
      </c>
      <c r="B256" t="s">
        <v>178</v>
      </c>
      <c r="C256">
        <v>39193</v>
      </c>
      <c r="D256">
        <v>0.24060000000000001</v>
      </c>
      <c r="E256">
        <v>0.2457</v>
      </c>
      <c r="F256">
        <v>0.39219999999999999</v>
      </c>
      <c r="G256">
        <v>822</v>
      </c>
      <c r="H256">
        <v>0.32090000000000002</v>
      </c>
    </row>
    <row r="257" spans="1:8" x14ac:dyDescent="0.2">
      <c r="A257">
        <v>10005050403</v>
      </c>
      <c r="B257" t="s">
        <v>176</v>
      </c>
      <c r="C257">
        <v>39123</v>
      </c>
      <c r="D257">
        <v>0.1109</v>
      </c>
      <c r="E257">
        <v>0.2487</v>
      </c>
      <c r="F257">
        <v>0.36309999999999998</v>
      </c>
      <c r="G257">
        <v>979</v>
      </c>
      <c r="H257">
        <v>0.47889999999999999</v>
      </c>
    </row>
    <row r="258" spans="1:8" x14ac:dyDescent="0.2">
      <c r="A258">
        <v>10005051302</v>
      </c>
      <c r="B258" t="s">
        <v>189</v>
      </c>
      <c r="C258">
        <v>38757</v>
      </c>
      <c r="D258">
        <v>0.20300000000000001</v>
      </c>
      <c r="E258">
        <v>0.1762</v>
      </c>
      <c r="F258">
        <v>0.45760000000000001</v>
      </c>
      <c r="G258">
        <v>1081</v>
      </c>
      <c r="H258">
        <v>0.30259999999999998</v>
      </c>
    </row>
    <row r="259" spans="1:8" x14ac:dyDescent="0.2">
      <c r="A259">
        <v>10005050704</v>
      </c>
      <c r="B259" t="s">
        <v>179</v>
      </c>
      <c r="C259">
        <v>38756</v>
      </c>
      <c r="D259">
        <v>9.6000000000000002E-2</v>
      </c>
      <c r="E259">
        <v>0.18659999999999999</v>
      </c>
      <c r="F259">
        <v>0.34549999999999997</v>
      </c>
      <c r="G259">
        <v>1000</v>
      </c>
      <c r="H259">
        <v>0.52129999999999999</v>
      </c>
    </row>
    <row r="260" spans="1:8" x14ac:dyDescent="0.2">
      <c r="A260">
        <v>10005050602</v>
      </c>
      <c r="B260" t="s">
        <v>179</v>
      </c>
      <c r="C260">
        <v>38710</v>
      </c>
      <c r="D260">
        <v>0.2208</v>
      </c>
      <c r="E260">
        <v>0.32240000000000002</v>
      </c>
      <c r="F260">
        <v>0.42799999999999999</v>
      </c>
      <c r="G260">
        <v>805</v>
      </c>
      <c r="H260">
        <v>0.4274</v>
      </c>
    </row>
    <row r="261" spans="1:8" x14ac:dyDescent="0.2">
      <c r="A261">
        <v>10005050301</v>
      </c>
      <c r="B261" t="s">
        <v>188</v>
      </c>
      <c r="C261">
        <v>38495</v>
      </c>
      <c r="D261">
        <v>0.22189999999999999</v>
      </c>
      <c r="E261">
        <v>0.30520000000000003</v>
      </c>
      <c r="F261">
        <v>0.4365</v>
      </c>
      <c r="G261">
        <v>839</v>
      </c>
      <c r="H261">
        <v>0.41149999999999998</v>
      </c>
    </row>
    <row r="262" spans="1:8" x14ac:dyDescent="0.2">
      <c r="A262">
        <v>10005050601</v>
      </c>
      <c r="B262" t="s">
        <v>179</v>
      </c>
      <c r="C262">
        <v>38313</v>
      </c>
      <c r="D262">
        <v>0.18129999999999999</v>
      </c>
      <c r="E262">
        <v>0.20330000000000001</v>
      </c>
      <c r="F262">
        <v>0.45810000000000001</v>
      </c>
      <c r="G262">
        <v>884</v>
      </c>
      <c r="H262">
        <v>0.33629999999999999</v>
      </c>
    </row>
    <row r="263" spans="1:8" x14ac:dyDescent="0.2">
      <c r="A263">
        <v>10005050701</v>
      </c>
      <c r="B263" t="s">
        <v>179</v>
      </c>
      <c r="C263">
        <v>38260</v>
      </c>
      <c r="D263">
        <v>0.1338</v>
      </c>
      <c r="E263">
        <v>0.25109999999999999</v>
      </c>
      <c r="F263">
        <v>0.37509999999999999</v>
      </c>
      <c r="G263">
        <v>823</v>
      </c>
      <c r="H263">
        <v>0.42399999999999999</v>
      </c>
    </row>
    <row r="264" spans="1:8" x14ac:dyDescent="0.2">
      <c r="A264">
        <v>10005050801</v>
      </c>
      <c r="B264" t="s">
        <v>190</v>
      </c>
      <c r="C264">
        <v>36923</v>
      </c>
      <c r="D264">
        <v>9.4600000000000004E-2</v>
      </c>
      <c r="E264">
        <v>0.20399999999999999</v>
      </c>
      <c r="F264">
        <v>0.39779999999999999</v>
      </c>
      <c r="G264">
        <v>716</v>
      </c>
      <c r="H264">
        <v>0.42609999999999998</v>
      </c>
    </row>
    <row r="265" spans="1:8" x14ac:dyDescent="0.2">
      <c r="A265">
        <v>10005051802</v>
      </c>
      <c r="B265" t="s">
        <v>181</v>
      </c>
      <c r="C265">
        <v>36649</v>
      </c>
      <c r="D265">
        <v>0.26419999999999999</v>
      </c>
      <c r="E265">
        <v>0.2757</v>
      </c>
      <c r="F265">
        <v>0.36699999999999999</v>
      </c>
      <c r="G265">
        <v>718</v>
      </c>
      <c r="H265">
        <v>0.56759999999999999</v>
      </c>
    </row>
    <row r="266" spans="1:8" x14ac:dyDescent="0.2">
      <c r="A266">
        <v>10001043000</v>
      </c>
      <c r="B266" t="s">
        <v>187</v>
      </c>
      <c r="C266">
        <v>36636</v>
      </c>
      <c r="D266">
        <v>0.16650000000000001</v>
      </c>
      <c r="E266">
        <v>0.33850000000000002</v>
      </c>
      <c r="F266">
        <v>0.43759999999999999</v>
      </c>
      <c r="G266">
        <v>879</v>
      </c>
      <c r="H266">
        <v>0.66720000000000002</v>
      </c>
    </row>
    <row r="267" spans="1:8" x14ac:dyDescent="0.2">
      <c r="A267">
        <v>10005050703</v>
      </c>
      <c r="B267" t="s">
        <v>179</v>
      </c>
      <c r="C267">
        <v>35470</v>
      </c>
      <c r="D267">
        <v>0.1585</v>
      </c>
      <c r="E267">
        <v>0.22600000000000001</v>
      </c>
      <c r="F267">
        <v>0.37019999999999997</v>
      </c>
      <c r="G267">
        <v>923</v>
      </c>
      <c r="H267">
        <v>0.40310000000000001</v>
      </c>
    </row>
    <row r="268" spans="1:8" x14ac:dyDescent="0.2">
      <c r="A268">
        <v>10001042500</v>
      </c>
      <c r="B268" t="s">
        <v>173</v>
      </c>
      <c r="C268">
        <v>34703</v>
      </c>
      <c r="D268">
        <v>0.20549999999999999</v>
      </c>
      <c r="E268">
        <v>0.29549999999999998</v>
      </c>
      <c r="F268">
        <v>0.31419999999999998</v>
      </c>
      <c r="G268">
        <v>775</v>
      </c>
      <c r="H268">
        <v>0.55800000000000005</v>
      </c>
    </row>
    <row r="269" spans="1:8" x14ac:dyDescent="0.2">
      <c r="A269">
        <v>10005050706</v>
      </c>
      <c r="B269" t="s">
        <v>191</v>
      </c>
      <c r="C269">
        <v>34571</v>
      </c>
      <c r="D269">
        <v>5.4899999999999997E-2</v>
      </c>
      <c r="E269">
        <v>0.1983</v>
      </c>
      <c r="F269">
        <v>0.34179999999999999</v>
      </c>
      <c r="G269">
        <v>960</v>
      </c>
      <c r="H269">
        <v>0.35049999999999998</v>
      </c>
    </row>
    <row r="270" spans="1:8" x14ac:dyDescent="0.2">
      <c r="A270">
        <v>10005050105</v>
      </c>
      <c r="B270" t="s">
        <v>192</v>
      </c>
      <c r="C270">
        <v>34066</v>
      </c>
      <c r="D270">
        <v>0.17050000000000001</v>
      </c>
      <c r="E270">
        <v>0.21890000000000001</v>
      </c>
      <c r="F270">
        <v>0.33450000000000002</v>
      </c>
      <c r="G270">
        <v>916</v>
      </c>
      <c r="H270">
        <v>0.35580000000000001</v>
      </c>
    </row>
    <row r="271" spans="1:8" x14ac:dyDescent="0.2">
      <c r="A271">
        <v>10005051400</v>
      </c>
      <c r="B271" t="s">
        <v>175</v>
      </c>
      <c r="C271">
        <v>33365</v>
      </c>
      <c r="D271">
        <v>0.1409</v>
      </c>
      <c r="E271">
        <v>0.39689999999999998</v>
      </c>
      <c r="F271">
        <v>0.29039999999999999</v>
      </c>
      <c r="G271">
        <v>752</v>
      </c>
      <c r="H271">
        <v>0.42680000000000001</v>
      </c>
    </row>
    <row r="272" spans="1:8" x14ac:dyDescent="0.2">
      <c r="A272">
        <v>10005050406</v>
      </c>
      <c r="B272" t="s">
        <v>176</v>
      </c>
      <c r="C272">
        <v>33179</v>
      </c>
      <c r="D272">
        <v>0.29580000000000001</v>
      </c>
      <c r="E272">
        <v>0.29609999999999997</v>
      </c>
      <c r="F272">
        <v>0.31340000000000001</v>
      </c>
      <c r="G272">
        <v>798</v>
      </c>
      <c r="H272">
        <v>0.40460000000000002</v>
      </c>
    </row>
    <row r="273" spans="1:8" x14ac:dyDescent="0.2">
      <c r="A273">
        <v>10005050408</v>
      </c>
      <c r="B273" t="s">
        <v>176</v>
      </c>
      <c r="C273">
        <v>31429</v>
      </c>
      <c r="D273">
        <v>0.1585</v>
      </c>
      <c r="E273">
        <v>0.32040000000000002</v>
      </c>
      <c r="F273">
        <v>0.30530000000000002</v>
      </c>
      <c r="G273">
        <v>987</v>
      </c>
      <c r="H273">
        <v>0.31409999999999999</v>
      </c>
    </row>
    <row r="274" spans="1:8" x14ac:dyDescent="0.2">
      <c r="A274">
        <v>10005050200</v>
      </c>
      <c r="B274" t="s">
        <v>193</v>
      </c>
      <c r="C274">
        <v>31008</v>
      </c>
      <c r="D274">
        <v>0.24249999999999999</v>
      </c>
      <c r="E274">
        <v>0.34849999999999998</v>
      </c>
      <c r="F274">
        <v>0.34560000000000002</v>
      </c>
      <c r="G274">
        <v>831</v>
      </c>
      <c r="H274">
        <v>0.48010000000000003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274"/>
  <sheetViews>
    <sheetView tabSelected="1" topLeftCell="H1" zoomScale="93" workbookViewId="0">
      <selection activeCell="T16" sqref="T16"/>
    </sheetView>
  </sheetViews>
  <sheetFormatPr baseColWidth="10" defaultRowHeight="16" x14ac:dyDescent="0.2"/>
  <cols>
    <col min="2" max="4" width="17" customWidth="1"/>
    <col min="5" max="7" width="16.6640625" customWidth="1"/>
    <col min="9" max="9" width="9.6640625" customWidth="1"/>
    <col min="10" max="10" width="10.83203125" customWidth="1"/>
    <col min="11" max="11" width="14.5" customWidth="1"/>
    <col min="12" max="12" width="10.83203125" customWidth="1"/>
    <col min="13" max="13" width="14.5" customWidth="1"/>
  </cols>
  <sheetData>
    <row r="1" spans="1:13" x14ac:dyDescent="0.2">
      <c r="B1" t="s">
        <v>144</v>
      </c>
      <c r="C1" t="s">
        <v>141</v>
      </c>
      <c r="D1" t="s">
        <v>145</v>
      </c>
      <c r="E1" t="s">
        <v>195</v>
      </c>
      <c r="F1" t="s">
        <v>196</v>
      </c>
      <c r="G1" t="s">
        <v>197</v>
      </c>
    </row>
    <row r="2" spans="1:13" x14ac:dyDescent="0.2">
      <c r="A2" t="s">
        <v>199</v>
      </c>
      <c r="B2">
        <v>0.1062</v>
      </c>
      <c r="C2">
        <v>0.29249999999999998</v>
      </c>
      <c r="D2">
        <v>0.15870000000000001</v>
      </c>
      <c r="E2">
        <v>3.73E-2</v>
      </c>
      <c r="F2">
        <v>8.5300000000000001E-2</v>
      </c>
      <c r="G2">
        <v>0</v>
      </c>
    </row>
    <row r="3" spans="1:13" x14ac:dyDescent="0.2">
      <c r="A3" t="s">
        <v>199</v>
      </c>
      <c r="B3">
        <v>6.0100000000000001E-2</v>
      </c>
      <c r="C3">
        <v>0.27779999999999999</v>
      </c>
      <c r="D3">
        <v>8.6400000000000005E-2</v>
      </c>
      <c r="E3">
        <v>4.9399999999999999E-2</v>
      </c>
      <c r="F3">
        <v>0.16719999999999999</v>
      </c>
      <c r="G3">
        <v>0.90910000000000002</v>
      </c>
    </row>
    <row r="4" spans="1:13" x14ac:dyDescent="0.2">
      <c r="A4" t="s">
        <v>199</v>
      </c>
      <c r="B4">
        <v>7.8200000000000006E-2</v>
      </c>
      <c r="C4">
        <v>0.31869999999999998</v>
      </c>
      <c r="D4">
        <v>0.29730000000000001</v>
      </c>
      <c r="E4">
        <v>7.8600000000000003E-2</v>
      </c>
      <c r="F4">
        <v>0</v>
      </c>
      <c r="G4">
        <v>0.16669999999999999</v>
      </c>
      <c r="J4" s="6" t="s">
        <v>203</v>
      </c>
      <c r="K4" s="6"/>
      <c r="L4" s="6" t="s">
        <v>204</v>
      </c>
      <c r="M4" s="6"/>
    </row>
    <row r="5" spans="1:13" x14ac:dyDescent="0.2">
      <c r="A5" t="s">
        <v>199</v>
      </c>
      <c r="B5">
        <v>0.1002</v>
      </c>
      <c r="C5">
        <v>0.29980000000000001</v>
      </c>
      <c r="D5">
        <v>0.42220000000000002</v>
      </c>
      <c r="E5">
        <v>9.3299999999999994E-2</v>
      </c>
      <c r="F5">
        <v>9.8699999999999996E-2</v>
      </c>
      <c r="G5">
        <v>0.37059999999999998</v>
      </c>
      <c r="J5" s="5" t="s">
        <v>199</v>
      </c>
      <c r="K5" s="5" t="s">
        <v>200</v>
      </c>
      <c r="L5" s="5" t="s">
        <v>199</v>
      </c>
      <c r="M5" s="5" t="s">
        <v>200</v>
      </c>
    </row>
    <row r="6" spans="1:13" x14ac:dyDescent="0.2">
      <c r="A6" t="s">
        <v>199</v>
      </c>
      <c r="B6">
        <v>0.15179999999999999</v>
      </c>
      <c r="C6">
        <v>0.3004</v>
      </c>
      <c r="D6">
        <v>0.47789999999999999</v>
      </c>
      <c r="E6">
        <v>5.4600000000000003E-2</v>
      </c>
      <c r="F6">
        <v>0.20730000000000001</v>
      </c>
      <c r="G6">
        <v>0.10059999999999999</v>
      </c>
      <c r="I6" t="s">
        <v>201</v>
      </c>
      <c r="J6">
        <f>SLOPE(D2:D218,C2:C218)</f>
        <v>1.3425023844886363</v>
      </c>
      <c r="K6">
        <f>SLOPE(D219:D274,C219:C274)</f>
        <v>0.61231263517778356</v>
      </c>
      <c r="L6">
        <f>SLOPE(B2:B218,D2:D218)</f>
        <v>0.30847124028811024</v>
      </c>
      <c r="M6">
        <f>SLOPE(B219:B274,D219:D274)</f>
        <v>0.10705507498877191</v>
      </c>
    </row>
    <row r="7" spans="1:13" x14ac:dyDescent="0.2">
      <c r="A7" t="s">
        <v>199</v>
      </c>
      <c r="B7">
        <v>0.41899999999999998</v>
      </c>
      <c r="C7">
        <v>0.57430000000000003</v>
      </c>
      <c r="D7">
        <v>0.92120000000000002</v>
      </c>
      <c r="E7">
        <v>7.1199999999999999E-2</v>
      </c>
      <c r="F7">
        <v>6.8500000000000005E-2</v>
      </c>
      <c r="G7">
        <v>9.3200000000000005E-2</v>
      </c>
      <c r="I7" t="s">
        <v>157</v>
      </c>
      <c r="J7">
        <f>INTERCEPT(D2:D218,C2:C218)</f>
        <v>5.7883963331247346E-2</v>
      </c>
      <c r="K7">
        <f>INTERCEPT(D219:D274,C219:C274)</f>
        <v>0.23722617000760579</v>
      </c>
      <c r="L7">
        <f>INTERCEPT(B2:B218,D2:D218)</f>
        <v>5.9232284099297372E-2</v>
      </c>
      <c r="M7">
        <f>INTERCEPT(B219:B274,D219:D274)</f>
        <v>8.2552381372417244E-2</v>
      </c>
    </row>
    <row r="8" spans="1:13" x14ac:dyDescent="0.2">
      <c r="A8" t="s">
        <v>199</v>
      </c>
      <c r="B8">
        <v>0.21890000000000001</v>
      </c>
      <c r="C8">
        <v>0.4733</v>
      </c>
      <c r="D8">
        <v>0.5635</v>
      </c>
      <c r="E8">
        <v>9.9900000000000003E-2</v>
      </c>
      <c r="F8">
        <v>0.14019999999999999</v>
      </c>
      <c r="G8">
        <v>0.32119999999999999</v>
      </c>
      <c r="I8" t="s">
        <v>202</v>
      </c>
      <c r="J8">
        <f>RSQ(D2:D218,C2:C218)</f>
        <v>0.53314961228991975</v>
      </c>
      <c r="K8">
        <f>RSQ(D219:D274,C219:C274)</f>
        <v>0.11391545443234327</v>
      </c>
      <c r="L8">
        <f>RSQ(B2:B218,D2:D218)</f>
        <v>0.44443553323658369</v>
      </c>
      <c r="M8">
        <f>RSQ(B219:B274,D219:D274)</f>
        <v>8.1046728429419915E-2</v>
      </c>
    </row>
    <row r="9" spans="1:13" x14ac:dyDescent="0.2">
      <c r="A9" t="s">
        <v>199</v>
      </c>
      <c r="B9">
        <v>0.26579999999999998</v>
      </c>
      <c r="C9">
        <v>0.31440000000000001</v>
      </c>
      <c r="D9">
        <v>0</v>
      </c>
      <c r="E9">
        <v>5.2600000000000001E-2</v>
      </c>
      <c r="F9">
        <v>1.38E-2</v>
      </c>
      <c r="G9">
        <v>0.23780000000000001</v>
      </c>
    </row>
    <row r="10" spans="1:13" x14ac:dyDescent="0.2">
      <c r="A10" t="s">
        <v>199</v>
      </c>
      <c r="B10">
        <v>0.29599999999999999</v>
      </c>
      <c r="C10">
        <v>0.4869</v>
      </c>
      <c r="D10">
        <v>0</v>
      </c>
      <c r="E10">
        <v>6.7699999999999996E-2</v>
      </c>
      <c r="F10">
        <v>2.7799999999999998E-2</v>
      </c>
      <c r="G10">
        <v>0.1429</v>
      </c>
      <c r="J10" s="6" t="s">
        <v>203</v>
      </c>
      <c r="K10" s="6"/>
      <c r="L10" s="6" t="s">
        <v>204</v>
      </c>
      <c r="M10" s="6"/>
    </row>
    <row r="11" spans="1:13" x14ac:dyDescent="0.2">
      <c r="A11" t="s">
        <v>199</v>
      </c>
      <c r="B11">
        <v>0.32679999999999998</v>
      </c>
      <c r="C11">
        <v>0.51639999999999997</v>
      </c>
      <c r="D11">
        <v>0.78680000000000005</v>
      </c>
      <c r="E11">
        <v>4.9000000000000002E-2</v>
      </c>
      <c r="F11">
        <v>9.5699999999999993E-2</v>
      </c>
      <c r="G11">
        <v>0.40889999999999999</v>
      </c>
      <c r="J11" s="5" t="s">
        <v>199</v>
      </c>
      <c r="K11" s="5" t="s">
        <v>200</v>
      </c>
      <c r="L11" s="5" t="s">
        <v>199</v>
      </c>
      <c r="M11" s="5" t="s">
        <v>200</v>
      </c>
    </row>
    <row r="12" spans="1:13" x14ac:dyDescent="0.2">
      <c r="A12" t="s">
        <v>199</v>
      </c>
      <c r="B12">
        <v>0.23710000000000001</v>
      </c>
      <c r="C12">
        <v>0.51239999999999997</v>
      </c>
      <c r="D12">
        <v>0.40839999999999999</v>
      </c>
      <c r="E12">
        <v>8.5699999999999998E-2</v>
      </c>
      <c r="F12">
        <v>0.19189999999999999</v>
      </c>
      <c r="G12">
        <v>0.14710000000000001</v>
      </c>
      <c r="I12" t="s">
        <v>201</v>
      </c>
      <c r="J12">
        <v>1.3425023844886363</v>
      </c>
      <c r="K12">
        <v>0.61231263517778356</v>
      </c>
      <c r="L12">
        <v>0.30847124028811024</v>
      </c>
      <c r="M12">
        <v>0.10705507498877191</v>
      </c>
    </row>
    <row r="13" spans="1:13" x14ac:dyDescent="0.2">
      <c r="A13" t="s">
        <v>199</v>
      </c>
      <c r="B13">
        <v>0.22600000000000001</v>
      </c>
      <c r="C13">
        <v>0.5857</v>
      </c>
      <c r="D13">
        <v>0.64229999999999998</v>
      </c>
      <c r="E13">
        <v>8.9099999999999999E-2</v>
      </c>
      <c r="F13">
        <v>0.21709999999999999</v>
      </c>
      <c r="G13">
        <v>0.55969999999999998</v>
      </c>
      <c r="I13" t="s">
        <v>157</v>
      </c>
      <c r="J13">
        <v>5.7883963331247346E-2</v>
      </c>
      <c r="K13">
        <v>0.23722617000760579</v>
      </c>
      <c r="L13">
        <v>5.9232284099297372E-2</v>
      </c>
      <c r="M13">
        <v>8.2552381372417244E-2</v>
      </c>
    </row>
    <row r="14" spans="1:13" x14ac:dyDescent="0.2">
      <c r="A14" t="s">
        <v>199</v>
      </c>
      <c r="B14">
        <v>0.22159999999999999</v>
      </c>
      <c r="C14">
        <v>0.49109999999999998</v>
      </c>
      <c r="D14">
        <v>0.5</v>
      </c>
      <c r="E14">
        <v>0.1028</v>
      </c>
      <c r="F14">
        <v>0.12479999999999999</v>
      </c>
      <c r="G14">
        <v>0.36880000000000002</v>
      </c>
      <c r="I14" t="s">
        <v>202</v>
      </c>
      <c r="J14">
        <v>0.53314961228991975</v>
      </c>
      <c r="K14">
        <v>0.11391545443234327</v>
      </c>
      <c r="L14">
        <v>0.44443553323658369</v>
      </c>
      <c r="M14">
        <v>8.1046728429419915E-2</v>
      </c>
    </row>
    <row r="15" spans="1:13" x14ac:dyDescent="0.2">
      <c r="A15" t="s">
        <v>199</v>
      </c>
      <c r="B15">
        <v>0.35880000000000001</v>
      </c>
      <c r="C15">
        <v>0.4677</v>
      </c>
      <c r="D15">
        <v>0.84870000000000001</v>
      </c>
      <c r="E15">
        <v>6.0499999999999998E-2</v>
      </c>
      <c r="F15">
        <v>7.2400000000000006E-2</v>
      </c>
      <c r="G15">
        <v>0.58250000000000002</v>
      </c>
    </row>
    <row r="16" spans="1:13" x14ac:dyDescent="0.2">
      <c r="A16" t="s">
        <v>199</v>
      </c>
      <c r="B16">
        <v>0.43669999999999998</v>
      </c>
      <c r="C16">
        <v>0.55449999999999999</v>
      </c>
      <c r="D16">
        <v>0.87849999999999995</v>
      </c>
      <c r="E16">
        <v>6.83E-2</v>
      </c>
      <c r="F16">
        <v>0.11409999999999999</v>
      </c>
      <c r="G16">
        <v>0.24729999999999999</v>
      </c>
    </row>
    <row r="17" spans="1:7" x14ac:dyDescent="0.2">
      <c r="A17" t="s">
        <v>199</v>
      </c>
      <c r="B17">
        <v>0.53800000000000003</v>
      </c>
      <c r="C17">
        <v>0.54910000000000003</v>
      </c>
      <c r="D17">
        <v>0.54079999999999995</v>
      </c>
      <c r="E17">
        <v>0.14069999999999999</v>
      </c>
      <c r="F17">
        <v>0.13669999999999999</v>
      </c>
      <c r="G17">
        <v>0.34129999999999999</v>
      </c>
    </row>
    <row r="18" spans="1:7" x14ac:dyDescent="0.2">
      <c r="A18" t="s">
        <v>199</v>
      </c>
      <c r="B18">
        <v>0.4743</v>
      </c>
      <c r="C18">
        <v>0.56440000000000001</v>
      </c>
      <c r="D18">
        <v>0.80620000000000003</v>
      </c>
      <c r="E18">
        <v>4.7100000000000003E-2</v>
      </c>
      <c r="F18">
        <v>3.4000000000000002E-2</v>
      </c>
      <c r="G18">
        <v>0.54810000000000003</v>
      </c>
    </row>
    <row r="19" spans="1:7" x14ac:dyDescent="0.2">
      <c r="A19" t="s">
        <v>199</v>
      </c>
      <c r="B19">
        <v>0.1469</v>
      </c>
      <c r="C19">
        <v>0.38290000000000002</v>
      </c>
      <c r="D19">
        <v>0.65100000000000002</v>
      </c>
      <c r="E19">
        <v>8.8800000000000004E-2</v>
      </c>
      <c r="F19">
        <v>0.2218</v>
      </c>
      <c r="G19">
        <v>0.57889999999999997</v>
      </c>
    </row>
    <row r="20" spans="1:7" x14ac:dyDescent="0.2">
      <c r="A20" t="s">
        <v>199</v>
      </c>
      <c r="B20">
        <v>0.27810000000000001</v>
      </c>
      <c r="C20">
        <v>0.55479999999999996</v>
      </c>
      <c r="D20">
        <v>0.71199999999999997</v>
      </c>
      <c r="E20">
        <v>0.1048</v>
      </c>
      <c r="F20">
        <v>0.13489999999999999</v>
      </c>
      <c r="G20">
        <v>0.17530000000000001</v>
      </c>
    </row>
    <row r="21" spans="1:7" x14ac:dyDescent="0.2">
      <c r="A21" t="s">
        <v>199</v>
      </c>
      <c r="B21">
        <v>0.24329999999999999</v>
      </c>
      <c r="C21">
        <v>0.60189999999999999</v>
      </c>
      <c r="D21">
        <v>0.60470000000000002</v>
      </c>
      <c r="E21">
        <v>0.114</v>
      </c>
      <c r="F21">
        <v>0.1888</v>
      </c>
      <c r="G21">
        <v>0.39150000000000001</v>
      </c>
    </row>
    <row r="22" spans="1:7" x14ac:dyDescent="0.2">
      <c r="A22" t="s">
        <v>199</v>
      </c>
      <c r="B22">
        <v>0.23039999999999999</v>
      </c>
      <c r="C22">
        <v>0.5323</v>
      </c>
      <c r="D22">
        <v>0.93279999999999996</v>
      </c>
      <c r="E22">
        <v>9.4899999999999998E-2</v>
      </c>
      <c r="F22">
        <v>2.5499999999999998E-2</v>
      </c>
      <c r="G22">
        <v>0.2432</v>
      </c>
    </row>
    <row r="23" spans="1:7" x14ac:dyDescent="0.2">
      <c r="A23" t="s">
        <v>199</v>
      </c>
      <c r="B23">
        <v>0.32200000000000001</v>
      </c>
      <c r="C23">
        <v>0.54790000000000005</v>
      </c>
      <c r="D23">
        <v>0.68640000000000001</v>
      </c>
      <c r="E23">
        <v>0.17810000000000001</v>
      </c>
      <c r="F23">
        <v>0.24929999999999999</v>
      </c>
      <c r="G23">
        <v>0.46879999999999999</v>
      </c>
    </row>
    <row r="24" spans="1:7" x14ac:dyDescent="0.2">
      <c r="A24" t="s">
        <v>199</v>
      </c>
      <c r="B24">
        <v>0.51190000000000002</v>
      </c>
      <c r="C24">
        <v>0.53949999999999998</v>
      </c>
      <c r="D24">
        <v>0.76529999999999998</v>
      </c>
      <c r="E24">
        <v>6.6299999999999998E-2</v>
      </c>
      <c r="F24">
        <v>0.26889999999999997</v>
      </c>
      <c r="G24">
        <v>0.17899999999999999</v>
      </c>
    </row>
    <row r="25" spans="1:7" x14ac:dyDescent="0.2">
      <c r="A25" t="s">
        <v>199</v>
      </c>
      <c r="B25">
        <v>0.3266</v>
      </c>
      <c r="C25">
        <v>0.55479999999999996</v>
      </c>
      <c r="D25">
        <v>0.84140000000000004</v>
      </c>
      <c r="E25">
        <v>7.0000000000000007E-2</v>
      </c>
      <c r="F25">
        <v>0.13619999999999999</v>
      </c>
      <c r="G25">
        <v>0.15970000000000001</v>
      </c>
    </row>
    <row r="26" spans="1:7" x14ac:dyDescent="0.2">
      <c r="A26" t="s">
        <v>199</v>
      </c>
      <c r="B26">
        <v>0.28620000000000001</v>
      </c>
      <c r="C26">
        <v>0.57669999999999999</v>
      </c>
      <c r="D26">
        <v>0.9385</v>
      </c>
      <c r="E26">
        <v>8.9200000000000002E-2</v>
      </c>
      <c r="F26">
        <v>0.2462</v>
      </c>
      <c r="G26">
        <v>0.14019999999999999</v>
      </c>
    </row>
    <row r="27" spans="1:7" x14ac:dyDescent="0.2">
      <c r="A27" t="s">
        <v>199</v>
      </c>
      <c r="B27">
        <v>0.2873</v>
      </c>
      <c r="C27">
        <v>0.56299999999999994</v>
      </c>
      <c r="D27">
        <v>1</v>
      </c>
      <c r="E27">
        <v>9.1999999999999998E-2</v>
      </c>
      <c r="F27">
        <v>0.22750000000000001</v>
      </c>
      <c r="G27">
        <v>0.1515</v>
      </c>
    </row>
    <row r="28" spans="1:7" x14ac:dyDescent="0.2">
      <c r="A28" t="s">
        <v>199</v>
      </c>
      <c r="B28">
        <v>0.49280000000000002</v>
      </c>
      <c r="C28">
        <v>0.58779999999999999</v>
      </c>
      <c r="D28">
        <v>0.97009999999999996</v>
      </c>
      <c r="E28">
        <v>6.6600000000000006E-2</v>
      </c>
      <c r="F28">
        <v>0.23530000000000001</v>
      </c>
      <c r="G28">
        <v>0.28649999999999998</v>
      </c>
    </row>
    <row r="29" spans="1:7" x14ac:dyDescent="0.2">
      <c r="A29" t="s">
        <v>199</v>
      </c>
      <c r="B29">
        <v>0.2059</v>
      </c>
      <c r="C29">
        <v>0.45689999999999997</v>
      </c>
      <c r="D29">
        <v>0.4728</v>
      </c>
      <c r="E29">
        <v>0.12870000000000001</v>
      </c>
      <c r="F29">
        <v>0.2346</v>
      </c>
      <c r="G29">
        <v>0.25719999999999998</v>
      </c>
    </row>
    <row r="30" spans="1:7" x14ac:dyDescent="0.2">
      <c r="A30" t="s">
        <v>199</v>
      </c>
      <c r="B30">
        <v>0.1113</v>
      </c>
      <c r="C30">
        <v>0.3901</v>
      </c>
      <c r="D30">
        <v>0.44529999999999997</v>
      </c>
      <c r="E30">
        <v>7.7100000000000002E-2</v>
      </c>
      <c r="F30">
        <v>0.1295</v>
      </c>
      <c r="G30">
        <v>0.18329999999999999</v>
      </c>
    </row>
    <row r="31" spans="1:7" x14ac:dyDescent="0.2">
      <c r="A31" t="s">
        <v>199</v>
      </c>
      <c r="B31">
        <v>0.23849999999999999</v>
      </c>
      <c r="C31">
        <v>0.36099999999999999</v>
      </c>
      <c r="D31">
        <v>0.29930000000000001</v>
      </c>
      <c r="E31">
        <v>0.1472</v>
      </c>
      <c r="F31">
        <v>0.28649999999999998</v>
      </c>
      <c r="G31">
        <v>0.47060000000000002</v>
      </c>
    </row>
    <row r="32" spans="1:7" x14ac:dyDescent="0.2">
      <c r="A32" t="s">
        <v>199</v>
      </c>
      <c r="B32">
        <v>0.30480000000000002</v>
      </c>
      <c r="C32">
        <v>0.55549999999999999</v>
      </c>
      <c r="D32">
        <v>0.78790000000000004</v>
      </c>
      <c r="E32">
        <v>0.1396</v>
      </c>
      <c r="F32">
        <v>0.20230000000000001</v>
      </c>
      <c r="G32">
        <v>0.53910000000000002</v>
      </c>
    </row>
    <row r="33" spans="1:7" x14ac:dyDescent="0.2">
      <c r="A33" t="s">
        <v>199</v>
      </c>
      <c r="B33">
        <v>0.16020000000000001</v>
      </c>
      <c r="C33">
        <v>0.50049999999999994</v>
      </c>
      <c r="D33">
        <v>0.63590000000000002</v>
      </c>
      <c r="E33">
        <v>8.6699999999999999E-2</v>
      </c>
      <c r="F33">
        <v>0.2364</v>
      </c>
      <c r="G33">
        <v>0.40389999999999998</v>
      </c>
    </row>
    <row r="34" spans="1:7" x14ac:dyDescent="0.2">
      <c r="A34" t="s">
        <v>199</v>
      </c>
      <c r="B34">
        <v>0.17219999999999999</v>
      </c>
      <c r="C34">
        <v>0.47820000000000001</v>
      </c>
      <c r="D34">
        <v>0.85140000000000005</v>
      </c>
      <c r="E34">
        <v>0.12540000000000001</v>
      </c>
      <c r="F34">
        <v>0.21149999999999999</v>
      </c>
      <c r="G34">
        <v>0.35639999999999999</v>
      </c>
    </row>
    <row r="35" spans="1:7" x14ac:dyDescent="0.2">
      <c r="A35" t="s">
        <v>199</v>
      </c>
      <c r="B35">
        <v>0.31290000000000001</v>
      </c>
      <c r="C35">
        <v>0.57530000000000003</v>
      </c>
      <c r="D35">
        <v>0.97789999999999999</v>
      </c>
      <c r="E35">
        <v>4.8000000000000001E-2</v>
      </c>
      <c r="F35">
        <v>0.2467</v>
      </c>
      <c r="G35">
        <v>0.3125</v>
      </c>
    </row>
    <row r="36" spans="1:7" x14ac:dyDescent="0.2">
      <c r="A36" t="s">
        <v>199</v>
      </c>
      <c r="B36">
        <v>0.3669</v>
      </c>
      <c r="C36">
        <v>0.55169999999999997</v>
      </c>
      <c r="D36">
        <v>0.95630000000000004</v>
      </c>
      <c r="E36">
        <v>0.17810000000000001</v>
      </c>
      <c r="F36">
        <v>0.2102</v>
      </c>
      <c r="G36">
        <v>0.33729999999999999</v>
      </c>
    </row>
    <row r="37" spans="1:7" x14ac:dyDescent="0.2">
      <c r="A37" t="s">
        <v>199</v>
      </c>
      <c r="B37">
        <v>0.25890000000000002</v>
      </c>
      <c r="C37">
        <v>0.59709999999999996</v>
      </c>
      <c r="D37">
        <v>1</v>
      </c>
      <c r="E37">
        <v>0.15479999999999999</v>
      </c>
      <c r="F37">
        <v>0.2626</v>
      </c>
      <c r="G37">
        <v>0.32369999999999999</v>
      </c>
    </row>
    <row r="38" spans="1:7" x14ac:dyDescent="0.2">
      <c r="A38" t="s">
        <v>199</v>
      </c>
      <c r="B38">
        <v>0.42649999999999999</v>
      </c>
      <c r="C38">
        <v>0.54400000000000004</v>
      </c>
      <c r="D38">
        <v>0.71899999999999997</v>
      </c>
      <c r="E38">
        <v>0.1129</v>
      </c>
      <c r="F38">
        <v>0.27589999999999998</v>
      </c>
      <c r="G38">
        <v>0.39040000000000002</v>
      </c>
    </row>
    <row r="39" spans="1:7" x14ac:dyDescent="0.2">
      <c r="A39" t="s">
        <v>199</v>
      </c>
      <c r="B39">
        <v>0.43140000000000001</v>
      </c>
      <c r="C39">
        <v>0.62790000000000001</v>
      </c>
      <c r="D39">
        <v>0.97760000000000002</v>
      </c>
      <c r="E39">
        <v>0.24060000000000001</v>
      </c>
      <c r="F39">
        <v>0.2457</v>
      </c>
      <c r="G39">
        <v>0.32090000000000002</v>
      </c>
    </row>
    <row r="40" spans="1:7" x14ac:dyDescent="0.2">
      <c r="A40" t="s">
        <v>199</v>
      </c>
      <c r="B40">
        <v>0.2155</v>
      </c>
      <c r="C40">
        <v>0.34870000000000001</v>
      </c>
      <c r="D40">
        <v>1</v>
      </c>
      <c r="E40">
        <v>0.1109</v>
      </c>
      <c r="F40">
        <v>0.2487</v>
      </c>
      <c r="G40">
        <v>0.47889999999999999</v>
      </c>
    </row>
    <row r="41" spans="1:7" x14ac:dyDescent="0.2">
      <c r="A41" t="s">
        <v>199</v>
      </c>
      <c r="B41">
        <v>0.19209999999999999</v>
      </c>
      <c r="C41">
        <v>0.45379999999999998</v>
      </c>
      <c r="D41">
        <v>0</v>
      </c>
      <c r="E41">
        <v>0.20300000000000001</v>
      </c>
      <c r="F41">
        <v>0.1762</v>
      </c>
      <c r="G41">
        <v>0.30259999999999998</v>
      </c>
    </row>
    <row r="42" spans="1:7" x14ac:dyDescent="0.2">
      <c r="A42" t="s">
        <v>199</v>
      </c>
      <c r="B42">
        <v>0.1774</v>
      </c>
      <c r="C42">
        <v>1.66E-2</v>
      </c>
      <c r="D42">
        <v>0.2772</v>
      </c>
      <c r="E42">
        <v>9.6000000000000002E-2</v>
      </c>
      <c r="F42">
        <v>0.18659999999999999</v>
      </c>
      <c r="G42">
        <v>0.52129999999999999</v>
      </c>
    </row>
    <row r="43" spans="1:7" x14ac:dyDescent="0.2">
      <c r="A43" t="s">
        <v>199</v>
      </c>
      <c r="B43">
        <v>0.21479999999999999</v>
      </c>
      <c r="C43">
        <v>0.29570000000000002</v>
      </c>
      <c r="D43">
        <v>0.18459999999999999</v>
      </c>
      <c r="E43">
        <v>0.2208</v>
      </c>
      <c r="F43">
        <v>0.32240000000000002</v>
      </c>
      <c r="G43">
        <v>0.4274</v>
      </c>
    </row>
    <row r="44" spans="1:7" x14ac:dyDescent="0.2">
      <c r="A44" t="s">
        <v>199</v>
      </c>
      <c r="B44">
        <v>0.36020000000000002</v>
      </c>
      <c r="C44">
        <v>8.8099999999999998E-2</v>
      </c>
      <c r="D44">
        <v>0</v>
      </c>
      <c r="E44">
        <v>0.22189999999999999</v>
      </c>
      <c r="F44">
        <v>0.30520000000000003</v>
      </c>
      <c r="G44">
        <v>0.41149999999999998</v>
      </c>
    </row>
    <row r="45" spans="1:7" x14ac:dyDescent="0.2">
      <c r="A45" t="s">
        <v>199</v>
      </c>
      <c r="B45">
        <v>0.2949</v>
      </c>
      <c r="C45">
        <v>0.53239999999999998</v>
      </c>
      <c r="D45">
        <v>0.60070000000000001</v>
      </c>
      <c r="E45">
        <v>0.18129999999999999</v>
      </c>
      <c r="F45">
        <v>0.20330000000000001</v>
      </c>
      <c r="G45">
        <v>0.33629999999999999</v>
      </c>
    </row>
    <row r="46" spans="1:7" x14ac:dyDescent="0.2">
      <c r="A46" t="s">
        <v>199</v>
      </c>
      <c r="B46">
        <v>0.42670000000000002</v>
      </c>
      <c r="C46">
        <v>0.62729999999999997</v>
      </c>
      <c r="D46">
        <v>0.74419999999999997</v>
      </c>
      <c r="E46">
        <v>0.1338</v>
      </c>
      <c r="F46">
        <v>0.25109999999999999</v>
      </c>
      <c r="G46">
        <v>0.42399999999999999</v>
      </c>
    </row>
    <row r="47" spans="1:7" x14ac:dyDescent="0.2">
      <c r="A47" t="s">
        <v>199</v>
      </c>
      <c r="B47">
        <v>0.29530000000000001</v>
      </c>
      <c r="C47">
        <v>0.54959999999999998</v>
      </c>
      <c r="D47">
        <v>0.7571</v>
      </c>
      <c r="E47">
        <v>9.4600000000000004E-2</v>
      </c>
      <c r="F47">
        <v>0.20399999999999999</v>
      </c>
      <c r="G47">
        <v>0.42609999999999998</v>
      </c>
    </row>
    <row r="48" spans="1:7" x14ac:dyDescent="0.2">
      <c r="A48" t="s">
        <v>199</v>
      </c>
      <c r="B48">
        <v>0.43930000000000002</v>
      </c>
      <c r="C48">
        <v>0.51729999999999998</v>
      </c>
      <c r="D48">
        <v>0.91300000000000003</v>
      </c>
      <c r="E48">
        <v>0.26419999999999999</v>
      </c>
      <c r="F48">
        <v>0.2757</v>
      </c>
      <c r="G48">
        <v>0.56759999999999999</v>
      </c>
    </row>
    <row r="49" spans="1:7" x14ac:dyDescent="0.2">
      <c r="A49" t="s">
        <v>199</v>
      </c>
      <c r="B49">
        <v>0.1734</v>
      </c>
      <c r="C49">
        <v>0.41930000000000001</v>
      </c>
      <c r="D49">
        <v>0.32319999999999999</v>
      </c>
      <c r="E49">
        <v>0.16650000000000001</v>
      </c>
      <c r="F49">
        <v>0.33850000000000002</v>
      </c>
      <c r="G49">
        <v>0.66720000000000002</v>
      </c>
    </row>
    <row r="50" spans="1:7" x14ac:dyDescent="0.2">
      <c r="A50" t="s">
        <v>199</v>
      </c>
      <c r="B50">
        <v>0.33660000000000001</v>
      </c>
      <c r="C50">
        <v>0.502</v>
      </c>
      <c r="D50">
        <v>0.71289999999999998</v>
      </c>
      <c r="E50">
        <v>0.1585</v>
      </c>
      <c r="F50">
        <v>0.22600000000000001</v>
      </c>
      <c r="G50">
        <v>0.40310000000000001</v>
      </c>
    </row>
    <row r="51" spans="1:7" x14ac:dyDescent="0.2">
      <c r="A51" t="s">
        <v>199</v>
      </c>
      <c r="B51">
        <v>0.34899999999999998</v>
      </c>
      <c r="C51">
        <v>0.48559999999999998</v>
      </c>
      <c r="D51">
        <v>0.85709999999999997</v>
      </c>
      <c r="E51">
        <v>0.20549999999999999</v>
      </c>
      <c r="F51">
        <v>0.29549999999999998</v>
      </c>
      <c r="G51">
        <v>0.55800000000000005</v>
      </c>
    </row>
    <row r="52" spans="1:7" x14ac:dyDescent="0.2">
      <c r="A52" t="s">
        <v>199</v>
      </c>
      <c r="B52">
        <v>0.33100000000000002</v>
      </c>
      <c r="C52">
        <v>0.55400000000000005</v>
      </c>
      <c r="D52">
        <v>0.6915</v>
      </c>
      <c r="E52">
        <v>5.4899999999999997E-2</v>
      </c>
      <c r="F52">
        <v>0.1983</v>
      </c>
      <c r="G52">
        <v>0.35049999999999998</v>
      </c>
    </row>
    <row r="53" spans="1:7" x14ac:dyDescent="0.2">
      <c r="A53" t="s">
        <v>199</v>
      </c>
      <c r="B53">
        <v>0.30499999999999999</v>
      </c>
      <c r="C53">
        <v>0.46860000000000002</v>
      </c>
      <c r="D53">
        <v>0.64410000000000001</v>
      </c>
      <c r="E53">
        <v>0.17050000000000001</v>
      </c>
      <c r="F53">
        <v>0.21890000000000001</v>
      </c>
      <c r="G53">
        <v>0.35580000000000001</v>
      </c>
    </row>
    <row r="54" spans="1:7" x14ac:dyDescent="0.2">
      <c r="A54" t="s">
        <v>199</v>
      </c>
      <c r="B54">
        <v>0.1043</v>
      </c>
      <c r="C54">
        <v>0.34289999999999998</v>
      </c>
      <c r="D54">
        <v>0.2492</v>
      </c>
      <c r="E54">
        <v>0.1409</v>
      </c>
      <c r="F54">
        <v>0.39689999999999998</v>
      </c>
      <c r="G54">
        <v>0.42680000000000001</v>
      </c>
    </row>
    <row r="55" spans="1:7" x14ac:dyDescent="0.2">
      <c r="A55" t="s">
        <v>199</v>
      </c>
      <c r="B55">
        <v>5.9299999999999999E-2</v>
      </c>
      <c r="C55">
        <v>0.2571</v>
      </c>
      <c r="D55">
        <v>3.4599999999999999E-2</v>
      </c>
      <c r="E55">
        <v>0.29580000000000001</v>
      </c>
      <c r="F55">
        <v>0.29609999999999997</v>
      </c>
      <c r="G55">
        <v>0.40460000000000002</v>
      </c>
    </row>
    <row r="56" spans="1:7" x14ac:dyDescent="0.2">
      <c r="A56" t="s">
        <v>199</v>
      </c>
      <c r="B56">
        <v>9.1200000000000003E-2</v>
      </c>
      <c r="C56">
        <v>0.1646</v>
      </c>
      <c r="D56">
        <v>0.39860000000000001</v>
      </c>
      <c r="E56">
        <v>0.1585</v>
      </c>
      <c r="F56">
        <v>0.32040000000000002</v>
      </c>
      <c r="G56">
        <v>0.31409999999999999</v>
      </c>
    </row>
    <row r="57" spans="1:7" x14ac:dyDescent="0.2">
      <c r="A57" t="s">
        <v>199</v>
      </c>
      <c r="B57">
        <v>0.15590000000000001</v>
      </c>
      <c r="C57">
        <v>0.33929999999999999</v>
      </c>
      <c r="D57">
        <v>0.63490000000000002</v>
      </c>
      <c r="E57">
        <v>0.24249999999999999</v>
      </c>
      <c r="F57">
        <v>0.34849999999999998</v>
      </c>
      <c r="G57">
        <v>0.48010000000000003</v>
      </c>
    </row>
    <row r="58" spans="1:7" x14ac:dyDescent="0.2">
      <c r="A58" t="s">
        <v>199</v>
      </c>
      <c r="B58">
        <v>0.13769999999999999</v>
      </c>
      <c r="C58">
        <v>0.23980000000000001</v>
      </c>
      <c r="D58">
        <v>0.55769999999999997</v>
      </c>
    </row>
    <row r="59" spans="1:7" x14ac:dyDescent="0.2">
      <c r="A59" t="s">
        <v>199</v>
      </c>
      <c r="B59">
        <v>0.1159</v>
      </c>
      <c r="C59">
        <v>0.30719999999999997</v>
      </c>
      <c r="D59">
        <v>0.5222</v>
      </c>
    </row>
    <row r="60" spans="1:7" x14ac:dyDescent="0.2">
      <c r="A60" t="s">
        <v>199</v>
      </c>
      <c r="B60">
        <v>0.17680000000000001</v>
      </c>
      <c r="C60">
        <v>0.30919999999999997</v>
      </c>
      <c r="D60">
        <v>0</v>
      </c>
    </row>
    <row r="61" spans="1:7" x14ac:dyDescent="0.2">
      <c r="A61" t="s">
        <v>199</v>
      </c>
      <c r="B61">
        <v>0.56599999999999995</v>
      </c>
      <c r="C61">
        <v>0.5393</v>
      </c>
      <c r="D61">
        <v>0.98080000000000001</v>
      </c>
    </row>
    <row r="62" spans="1:7" x14ac:dyDescent="0.2">
      <c r="A62" t="s">
        <v>199</v>
      </c>
      <c r="B62">
        <v>0.42620000000000002</v>
      </c>
      <c r="C62">
        <v>0.51859999999999995</v>
      </c>
      <c r="D62">
        <v>0.74919999999999998</v>
      </c>
    </row>
    <row r="63" spans="1:7" x14ac:dyDescent="0.2">
      <c r="A63" t="s">
        <v>199</v>
      </c>
      <c r="B63">
        <v>0.47320000000000001</v>
      </c>
      <c r="C63">
        <v>0.55110000000000003</v>
      </c>
      <c r="D63">
        <v>1</v>
      </c>
    </row>
    <row r="64" spans="1:7" x14ac:dyDescent="0.2">
      <c r="A64" t="s">
        <v>199</v>
      </c>
      <c r="B64">
        <v>0.26329999999999998</v>
      </c>
      <c r="C64">
        <v>0.55710000000000004</v>
      </c>
      <c r="D64">
        <v>0.6512</v>
      </c>
    </row>
    <row r="65" spans="1:4" x14ac:dyDescent="0.2">
      <c r="A65" t="s">
        <v>199</v>
      </c>
      <c r="B65">
        <v>0.2349</v>
      </c>
      <c r="C65">
        <v>0.49099999999999999</v>
      </c>
      <c r="D65">
        <v>0.55559999999999998</v>
      </c>
    </row>
    <row r="66" spans="1:4" x14ac:dyDescent="0.2">
      <c r="A66" t="s">
        <v>199</v>
      </c>
      <c r="B66">
        <v>0.16209999999999999</v>
      </c>
      <c r="C66">
        <v>0.50429999999999997</v>
      </c>
      <c r="D66">
        <v>0.79490000000000005</v>
      </c>
    </row>
    <row r="67" spans="1:4" x14ac:dyDescent="0.2">
      <c r="A67" t="s">
        <v>199</v>
      </c>
      <c r="B67">
        <v>0.26490000000000002</v>
      </c>
      <c r="C67">
        <v>0.5413</v>
      </c>
      <c r="D67">
        <v>0.86870000000000003</v>
      </c>
    </row>
    <row r="68" spans="1:4" x14ac:dyDescent="0.2">
      <c r="A68" t="s">
        <v>199</v>
      </c>
      <c r="B68">
        <v>0.29239999999999999</v>
      </c>
      <c r="C68">
        <v>0.52129999999999999</v>
      </c>
      <c r="D68">
        <v>0.85489999999999999</v>
      </c>
    </row>
    <row r="69" spans="1:4" x14ac:dyDescent="0.2">
      <c r="A69" t="s">
        <v>199</v>
      </c>
      <c r="B69">
        <v>0.19159999999999999</v>
      </c>
      <c r="C69">
        <v>0.43930000000000002</v>
      </c>
      <c r="D69">
        <v>0.82179999999999997</v>
      </c>
    </row>
    <row r="70" spans="1:4" x14ac:dyDescent="0.2">
      <c r="A70" t="s">
        <v>199</v>
      </c>
      <c r="B70">
        <v>0.23730000000000001</v>
      </c>
      <c r="C70">
        <v>0.4597</v>
      </c>
      <c r="D70">
        <v>0.89600000000000002</v>
      </c>
    </row>
    <row r="71" spans="1:4" x14ac:dyDescent="0.2">
      <c r="A71" t="s">
        <v>199</v>
      </c>
      <c r="B71">
        <v>0.25629999999999997</v>
      </c>
      <c r="C71">
        <v>0.49559999999999998</v>
      </c>
      <c r="D71">
        <v>0.81720000000000004</v>
      </c>
    </row>
    <row r="72" spans="1:4" x14ac:dyDescent="0.2">
      <c r="A72" t="s">
        <v>199</v>
      </c>
      <c r="B72">
        <v>0.21829999999999999</v>
      </c>
      <c r="C72">
        <v>0.40939999999999999</v>
      </c>
      <c r="D72">
        <v>0.49609999999999999</v>
      </c>
    </row>
    <row r="73" spans="1:4" x14ac:dyDescent="0.2">
      <c r="A73" t="s">
        <v>199</v>
      </c>
      <c r="B73">
        <v>0.27450000000000002</v>
      </c>
      <c r="C73">
        <v>0.44790000000000002</v>
      </c>
      <c r="D73">
        <v>0.80669999999999997</v>
      </c>
    </row>
    <row r="74" spans="1:4" x14ac:dyDescent="0.2">
      <c r="A74" t="s">
        <v>199</v>
      </c>
      <c r="B74">
        <v>0.15690000000000001</v>
      </c>
      <c r="C74">
        <v>0.36149999999999999</v>
      </c>
      <c r="D74">
        <v>0.7823</v>
      </c>
    </row>
    <row r="75" spans="1:4" x14ac:dyDescent="0.2">
      <c r="A75" t="s">
        <v>199</v>
      </c>
      <c r="B75">
        <v>0.31559999999999999</v>
      </c>
      <c r="C75">
        <v>0.46310000000000001</v>
      </c>
      <c r="D75">
        <v>0.73080000000000001</v>
      </c>
    </row>
    <row r="76" spans="1:4" x14ac:dyDescent="0.2">
      <c r="A76" t="s">
        <v>199</v>
      </c>
      <c r="B76">
        <v>0.44309999999999999</v>
      </c>
      <c r="C76">
        <v>0.52869999999999995</v>
      </c>
      <c r="D76">
        <v>0.7681</v>
      </c>
    </row>
    <row r="77" spans="1:4" x14ac:dyDescent="0.2">
      <c r="A77" t="s">
        <v>199</v>
      </c>
      <c r="B77">
        <v>0.38790000000000002</v>
      </c>
      <c r="C77">
        <v>0.55120000000000002</v>
      </c>
      <c r="D77">
        <v>0.85619999999999996</v>
      </c>
    </row>
    <row r="78" spans="1:4" x14ac:dyDescent="0.2">
      <c r="A78" t="s">
        <v>199</v>
      </c>
      <c r="B78">
        <v>0.3034</v>
      </c>
      <c r="C78">
        <v>0.51690000000000003</v>
      </c>
      <c r="D78">
        <v>0.83789999999999998</v>
      </c>
    </row>
    <row r="79" spans="1:4" x14ac:dyDescent="0.2">
      <c r="A79" t="s">
        <v>199</v>
      </c>
      <c r="B79">
        <v>0.39369999999999999</v>
      </c>
      <c r="C79">
        <v>0.56930000000000003</v>
      </c>
      <c r="D79">
        <v>0.85229999999999995</v>
      </c>
    </row>
    <row r="80" spans="1:4" x14ac:dyDescent="0.2">
      <c r="A80" t="s">
        <v>199</v>
      </c>
      <c r="B80">
        <v>0.37769999999999998</v>
      </c>
      <c r="C80">
        <v>0.5444</v>
      </c>
      <c r="D80">
        <v>0.90780000000000005</v>
      </c>
    </row>
    <row r="81" spans="1:4" x14ac:dyDescent="0.2">
      <c r="A81" t="s">
        <v>199</v>
      </c>
      <c r="B81">
        <v>0.25690000000000002</v>
      </c>
      <c r="C81">
        <v>0.45340000000000003</v>
      </c>
      <c r="D81">
        <v>0.69310000000000005</v>
      </c>
    </row>
    <row r="82" spans="1:4" x14ac:dyDescent="0.2">
      <c r="A82" t="s">
        <v>199</v>
      </c>
      <c r="B82">
        <v>0.36230000000000001</v>
      </c>
      <c r="C82">
        <v>0.56540000000000001</v>
      </c>
      <c r="D82">
        <v>0.88</v>
      </c>
    </row>
    <row r="83" spans="1:4" x14ac:dyDescent="0.2">
      <c r="A83" t="s">
        <v>199</v>
      </c>
      <c r="B83">
        <v>0.37159999999999999</v>
      </c>
      <c r="C83">
        <v>0.42420000000000002</v>
      </c>
      <c r="D83">
        <v>0.7147</v>
      </c>
    </row>
    <row r="84" spans="1:4" x14ac:dyDescent="0.2">
      <c r="A84" t="s">
        <v>199</v>
      </c>
      <c r="B84">
        <v>0.18340000000000001</v>
      </c>
      <c r="C84">
        <v>0.46870000000000001</v>
      </c>
      <c r="D84">
        <v>0.73240000000000005</v>
      </c>
    </row>
    <row r="85" spans="1:4" x14ac:dyDescent="0.2">
      <c r="A85" t="s">
        <v>199</v>
      </c>
      <c r="B85">
        <v>0.12809999999999999</v>
      </c>
      <c r="C85">
        <v>0.47939999999999999</v>
      </c>
      <c r="D85">
        <v>0.75929999999999997</v>
      </c>
    </row>
    <row r="86" spans="1:4" x14ac:dyDescent="0.2">
      <c r="A86" t="s">
        <v>199</v>
      </c>
      <c r="B86">
        <v>0.27839999999999998</v>
      </c>
      <c r="C86">
        <v>0.45090000000000002</v>
      </c>
      <c r="D86">
        <v>0.93330000000000002</v>
      </c>
    </row>
    <row r="87" spans="1:4" x14ac:dyDescent="0.2">
      <c r="A87" t="s">
        <v>199</v>
      </c>
      <c r="B87">
        <v>0.51980000000000004</v>
      </c>
      <c r="C87">
        <v>0.60740000000000005</v>
      </c>
      <c r="D87">
        <v>0.89929999999999999</v>
      </c>
    </row>
    <row r="88" spans="1:4" x14ac:dyDescent="0.2">
      <c r="A88" t="s">
        <v>199</v>
      </c>
      <c r="B88">
        <v>0.31030000000000002</v>
      </c>
      <c r="C88">
        <v>0.58660000000000001</v>
      </c>
      <c r="D88">
        <v>0.94069999999999998</v>
      </c>
    </row>
    <row r="89" spans="1:4" x14ac:dyDescent="0.2">
      <c r="A89" t="s">
        <v>199</v>
      </c>
      <c r="B89">
        <v>0.58599999999999997</v>
      </c>
      <c r="C89">
        <v>0.44450000000000001</v>
      </c>
      <c r="D89">
        <v>0.98299999999999998</v>
      </c>
    </row>
    <row r="90" spans="1:4" x14ac:dyDescent="0.2">
      <c r="A90" t="s">
        <v>199</v>
      </c>
      <c r="B90">
        <v>0.40699999999999997</v>
      </c>
      <c r="C90">
        <v>0.46150000000000002</v>
      </c>
      <c r="D90">
        <v>0.66669999999999996</v>
      </c>
    </row>
    <row r="91" spans="1:4" x14ac:dyDescent="0.2">
      <c r="A91" t="s">
        <v>199</v>
      </c>
      <c r="B91">
        <v>0.36149999999999999</v>
      </c>
      <c r="C91">
        <v>0.42609999999999998</v>
      </c>
      <c r="D91">
        <v>0.8478</v>
      </c>
    </row>
    <row r="92" spans="1:4" x14ac:dyDescent="0.2">
      <c r="A92" t="s">
        <v>199</v>
      </c>
      <c r="B92">
        <v>0.38719999999999999</v>
      </c>
      <c r="C92">
        <v>0.53610000000000002</v>
      </c>
      <c r="D92">
        <v>0.97450000000000003</v>
      </c>
    </row>
    <row r="93" spans="1:4" x14ac:dyDescent="0.2">
      <c r="A93" t="s">
        <v>199</v>
      </c>
      <c r="B93">
        <v>0.33079999999999998</v>
      </c>
      <c r="C93">
        <v>0.4118</v>
      </c>
      <c r="D93">
        <v>0.73680000000000001</v>
      </c>
    </row>
    <row r="94" spans="1:4" x14ac:dyDescent="0.2">
      <c r="A94" t="s">
        <v>199</v>
      </c>
      <c r="B94">
        <v>0.36259999999999998</v>
      </c>
      <c r="C94">
        <v>0.4642</v>
      </c>
      <c r="D94">
        <v>0.64470000000000005</v>
      </c>
    </row>
    <row r="95" spans="1:4" x14ac:dyDescent="0.2">
      <c r="A95" t="s">
        <v>199</v>
      </c>
      <c r="B95">
        <v>0.47499999999999998</v>
      </c>
      <c r="C95">
        <v>0.60780000000000001</v>
      </c>
      <c r="D95">
        <v>0.66339999999999999</v>
      </c>
    </row>
    <row r="96" spans="1:4" x14ac:dyDescent="0.2">
      <c r="A96" t="s">
        <v>199</v>
      </c>
      <c r="B96">
        <v>0.38719999999999999</v>
      </c>
      <c r="C96">
        <v>0.50070000000000003</v>
      </c>
      <c r="D96">
        <v>0.44550000000000001</v>
      </c>
    </row>
    <row r="97" spans="1:4" x14ac:dyDescent="0.2">
      <c r="A97" t="s">
        <v>199</v>
      </c>
      <c r="B97">
        <v>0.4375</v>
      </c>
      <c r="C97">
        <v>0.55979999999999996</v>
      </c>
      <c r="D97">
        <v>0.92379999999999995</v>
      </c>
    </row>
    <row r="98" spans="1:4" x14ac:dyDescent="0.2">
      <c r="A98" t="s">
        <v>199</v>
      </c>
      <c r="B98">
        <v>0.38800000000000001</v>
      </c>
      <c r="C98">
        <v>0.59809999999999997</v>
      </c>
      <c r="D98">
        <v>0.81330000000000002</v>
      </c>
    </row>
    <row r="99" spans="1:4" x14ac:dyDescent="0.2">
      <c r="A99" t="s">
        <v>199</v>
      </c>
      <c r="B99">
        <v>0.28260000000000002</v>
      </c>
      <c r="C99">
        <v>0.43409999999999999</v>
      </c>
      <c r="D99">
        <v>0.59860000000000002</v>
      </c>
    </row>
    <row r="100" spans="1:4" x14ac:dyDescent="0.2">
      <c r="A100" t="s">
        <v>199</v>
      </c>
      <c r="B100">
        <v>0.26979999999999998</v>
      </c>
      <c r="C100">
        <v>0.47370000000000001</v>
      </c>
      <c r="D100">
        <v>0.74339999999999995</v>
      </c>
    </row>
    <row r="101" spans="1:4" x14ac:dyDescent="0.2">
      <c r="A101" t="s">
        <v>199</v>
      </c>
      <c r="B101">
        <v>0.39560000000000001</v>
      </c>
      <c r="C101">
        <v>0.48780000000000001</v>
      </c>
      <c r="D101">
        <v>0.85919999999999996</v>
      </c>
    </row>
    <row r="102" spans="1:4" x14ac:dyDescent="0.2">
      <c r="A102" t="s">
        <v>199</v>
      </c>
      <c r="B102">
        <v>0.26150000000000001</v>
      </c>
      <c r="C102">
        <v>0.48020000000000002</v>
      </c>
      <c r="D102">
        <v>0.75839999999999996</v>
      </c>
    </row>
    <row r="103" spans="1:4" x14ac:dyDescent="0.2">
      <c r="A103" t="s">
        <v>199</v>
      </c>
      <c r="B103">
        <v>0.1106</v>
      </c>
      <c r="C103">
        <v>0.15759999999999999</v>
      </c>
      <c r="D103">
        <v>0.51949999999999996</v>
      </c>
    </row>
    <row r="104" spans="1:4" x14ac:dyDescent="0.2">
      <c r="A104" t="s">
        <v>199</v>
      </c>
      <c r="B104">
        <v>0.18720000000000001</v>
      </c>
      <c r="C104">
        <v>0.33139999999999997</v>
      </c>
      <c r="D104">
        <v>0.60540000000000005</v>
      </c>
    </row>
    <row r="105" spans="1:4" x14ac:dyDescent="0.2">
      <c r="A105" t="s">
        <v>199</v>
      </c>
      <c r="B105">
        <v>0.1152</v>
      </c>
      <c r="C105">
        <v>0.3422</v>
      </c>
      <c r="D105">
        <v>0.55700000000000005</v>
      </c>
    </row>
    <row r="106" spans="1:4" x14ac:dyDescent="0.2">
      <c r="A106" t="s">
        <v>199</v>
      </c>
      <c r="B106">
        <v>0.17730000000000001</v>
      </c>
      <c r="C106">
        <v>0.39229999999999998</v>
      </c>
      <c r="D106">
        <v>0.5615</v>
      </c>
    </row>
    <row r="107" spans="1:4" x14ac:dyDescent="0.2">
      <c r="A107" t="s">
        <v>199</v>
      </c>
      <c r="B107">
        <v>0.18029999999999999</v>
      </c>
      <c r="C107">
        <v>0.43230000000000002</v>
      </c>
      <c r="D107">
        <v>0.56340000000000001</v>
      </c>
    </row>
    <row r="108" spans="1:4" x14ac:dyDescent="0.2">
      <c r="A108" t="s">
        <v>199</v>
      </c>
      <c r="B108">
        <v>0.21279999999999999</v>
      </c>
      <c r="C108">
        <v>0.36099999999999999</v>
      </c>
      <c r="D108">
        <v>0.65939999999999999</v>
      </c>
    </row>
    <row r="109" spans="1:4" x14ac:dyDescent="0.2">
      <c r="A109" t="s">
        <v>199</v>
      </c>
      <c r="B109">
        <v>0.31630000000000003</v>
      </c>
      <c r="C109">
        <v>0.40770000000000001</v>
      </c>
      <c r="D109">
        <v>0.85919999999999996</v>
      </c>
    </row>
    <row r="110" spans="1:4" x14ac:dyDescent="0.2">
      <c r="A110" t="s">
        <v>199</v>
      </c>
      <c r="B110">
        <v>0.27510000000000001</v>
      </c>
      <c r="C110">
        <v>0.43440000000000001</v>
      </c>
      <c r="D110">
        <v>0.89059999999999995</v>
      </c>
    </row>
    <row r="111" spans="1:4" x14ac:dyDescent="0.2">
      <c r="A111" t="s">
        <v>199</v>
      </c>
      <c r="B111">
        <v>0.37080000000000002</v>
      </c>
      <c r="C111">
        <v>0.46810000000000002</v>
      </c>
      <c r="D111">
        <v>0.86760000000000004</v>
      </c>
    </row>
    <row r="112" spans="1:4" x14ac:dyDescent="0.2">
      <c r="A112" t="s">
        <v>199</v>
      </c>
      <c r="B112">
        <v>0.19689999999999999</v>
      </c>
      <c r="C112">
        <v>0.28839999999999999</v>
      </c>
      <c r="D112">
        <v>0.51329999999999998</v>
      </c>
    </row>
    <row r="113" spans="1:4" x14ac:dyDescent="0.2">
      <c r="A113" t="s">
        <v>199</v>
      </c>
      <c r="B113">
        <v>0.2457</v>
      </c>
      <c r="C113">
        <v>0.52180000000000004</v>
      </c>
      <c r="D113">
        <v>0.67410000000000003</v>
      </c>
    </row>
    <row r="114" spans="1:4" x14ac:dyDescent="0.2">
      <c r="A114" t="s">
        <v>199</v>
      </c>
      <c r="B114">
        <v>0.2989</v>
      </c>
      <c r="C114">
        <v>0.52529999999999999</v>
      </c>
      <c r="D114">
        <v>0.79059999999999997</v>
      </c>
    </row>
    <row r="115" spans="1:4" x14ac:dyDescent="0.2">
      <c r="A115" t="s">
        <v>199</v>
      </c>
      <c r="B115">
        <v>0.3004</v>
      </c>
      <c r="C115">
        <v>0.41199999999999998</v>
      </c>
      <c r="D115">
        <v>0.70140000000000002</v>
      </c>
    </row>
    <row r="116" spans="1:4" x14ac:dyDescent="0.2">
      <c r="A116" t="s">
        <v>199</v>
      </c>
      <c r="B116">
        <v>0.11219999999999999</v>
      </c>
      <c r="C116">
        <v>0.19</v>
      </c>
      <c r="D116">
        <v>0.44700000000000001</v>
      </c>
    </row>
    <row r="117" spans="1:4" x14ac:dyDescent="0.2">
      <c r="A117" t="s">
        <v>199</v>
      </c>
      <c r="B117">
        <v>0.2243</v>
      </c>
      <c r="C117">
        <v>0.23089999999999999</v>
      </c>
      <c r="D117">
        <v>0.44</v>
      </c>
    </row>
    <row r="118" spans="1:4" x14ac:dyDescent="0.2">
      <c r="A118" t="s">
        <v>199</v>
      </c>
      <c r="B118">
        <v>0.26840000000000003</v>
      </c>
      <c r="C118">
        <v>0.36230000000000001</v>
      </c>
      <c r="D118">
        <v>0.38119999999999998</v>
      </c>
    </row>
    <row r="119" spans="1:4" x14ac:dyDescent="0.2">
      <c r="A119" t="s">
        <v>199</v>
      </c>
      <c r="B119">
        <v>7.9699999999999993E-2</v>
      </c>
      <c r="C119">
        <v>0.1749</v>
      </c>
      <c r="D119">
        <v>0.30070000000000002</v>
      </c>
    </row>
    <row r="120" spans="1:4" x14ac:dyDescent="0.2">
      <c r="A120" t="s">
        <v>199</v>
      </c>
      <c r="B120">
        <v>0.1847</v>
      </c>
      <c r="C120">
        <v>0.41589999999999999</v>
      </c>
      <c r="D120">
        <v>0.31380000000000002</v>
      </c>
    </row>
    <row r="121" spans="1:4" x14ac:dyDescent="0.2">
      <c r="A121" t="s">
        <v>199</v>
      </c>
      <c r="B121">
        <v>0.104</v>
      </c>
      <c r="C121">
        <v>0.29899999999999999</v>
      </c>
      <c r="D121">
        <v>0.1079</v>
      </c>
    </row>
    <row r="122" spans="1:4" x14ac:dyDescent="0.2">
      <c r="A122" t="s">
        <v>199</v>
      </c>
      <c r="B122">
        <v>0.28989999999999999</v>
      </c>
      <c r="C122">
        <v>0.255</v>
      </c>
      <c r="D122">
        <v>0.58330000000000004</v>
      </c>
    </row>
    <row r="123" spans="1:4" x14ac:dyDescent="0.2">
      <c r="A123" t="s">
        <v>199</v>
      </c>
      <c r="B123">
        <v>8.9200000000000002E-2</v>
      </c>
      <c r="C123">
        <v>0.29399999999999998</v>
      </c>
      <c r="D123">
        <v>0.46379999999999999</v>
      </c>
    </row>
    <row r="124" spans="1:4" x14ac:dyDescent="0.2">
      <c r="A124" t="s">
        <v>199</v>
      </c>
      <c r="B124">
        <v>9.7100000000000006E-2</v>
      </c>
      <c r="C124">
        <v>0.26</v>
      </c>
      <c r="D124">
        <v>0.33329999999999999</v>
      </c>
    </row>
    <row r="125" spans="1:4" x14ac:dyDescent="0.2">
      <c r="A125" t="s">
        <v>199</v>
      </c>
      <c r="B125">
        <v>0.11260000000000001</v>
      </c>
      <c r="C125">
        <v>0.21759999999999999</v>
      </c>
      <c r="D125">
        <v>0.31850000000000001</v>
      </c>
    </row>
    <row r="126" spans="1:4" x14ac:dyDescent="0.2">
      <c r="A126" t="s">
        <v>199</v>
      </c>
      <c r="B126">
        <v>0.12180000000000001</v>
      </c>
      <c r="C126">
        <v>0.2016</v>
      </c>
      <c r="D126">
        <v>0.25359999999999999</v>
      </c>
    </row>
    <row r="127" spans="1:4" x14ac:dyDescent="0.2">
      <c r="A127" t="s">
        <v>199</v>
      </c>
      <c r="B127">
        <v>0.14779999999999999</v>
      </c>
      <c r="C127">
        <v>0.29749999999999999</v>
      </c>
      <c r="D127">
        <v>0.7127</v>
      </c>
    </row>
    <row r="128" spans="1:4" x14ac:dyDescent="0.2">
      <c r="A128" t="s">
        <v>199</v>
      </c>
      <c r="B128">
        <v>9.7600000000000006E-2</v>
      </c>
      <c r="C128">
        <v>0.22689999999999999</v>
      </c>
      <c r="D128">
        <v>0.18809999999999999</v>
      </c>
    </row>
    <row r="129" spans="1:4" x14ac:dyDescent="0.2">
      <c r="A129" t="s">
        <v>199</v>
      </c>
      <c r="B129">
        <v>6.7799999999999999E-2</v>
      </c>
      <c r="C129">
        <v>0.16270000000000001</v>
      </c>
      <c r="D129">
        <v>0.14630000000000001</v>
      </c>
    </row>
    <row r="130" spans="1:4" x14ac:dyDescent="0.2">
      <c r="A130" t="s">
        <v>199</v>
      </c>
      <c r="B130">
        <v>0.1341</v>
      </c>
      <c r="C130">
        <v>0.16789999999999999</v>
      </c>
      <c r="D130">
        <v>0.44440000000000002</v>
      </c>
    </row>
    <row r="131" spans="1:4" x14ac:dyDescent="0.2">
      <c r="A131" t="s">
        <v>199</v>
      </c>
      <c r="B131">
        <v>0.13250000000000001</v>
      </c>
      <c r="C131">
        <v>0.1883</v>
      </c>
      <c r="D131">
        <v>0.37030000000000002</v>
      </c>
    </row>
    <row r="132" spans="1:4" x14ac:dyDescent="0.2">
      <c r="A132" t="s">
        <v>199</v>
      </c>
      <c r="B132">
        <v>0.2417</v>
      </c>
      <c r="C132">
        <v>0.47520000000000001</v>
      </c>
      <c r="D132">
        <v>0.77839999999999998</v>
      </c>
    </row>
    <row r="133" spans="1:4" x14ac:dyDescent="0.2">
      <c r="A133" t="s">
        <v>199</v>
      </c>
      <c r="B133">
        <v>0.1278</v>
      </c>
      <c r="C133">
        <v>0.3024</v>
      </c>
      <c r="D133">
        <v>0.92789999999999995</v>
      </c>
    </row>
    <row r="134" spans="1:4" x14ac:dyDescent="0.2">
      <c r="A134" t="s">
        <v>199</v>
      </c>
      <c r="B134">
        <v>8.1900000000000001E-2</v>
      </c>
      <c r="C134">
        <v>0.125</v>
      </c>
      <c r="D134">
        <v>7.0699999999999999E-2</v>
      </c>
    </row>
    <row r="135" spans="1:4" x14ac:dyDescent="0.2">
      <c r="A135" t="s">
        <v>199</v>
      </c>
      <c r="B135">
        <v>0.188</v>
      </c>
      <c r="C135">
        <v>0.3029</v>
      </c>
      <c r="D135">
        <v>0.60119999999999996</v>
      </c>
    </row>
    <row r="136" spans="1:4" x14ac:dyDescent="0.2">
      <c r="A136" t="s">
        <v>199</v>
      </c>
      <c r="B136">
        <v>0.15909999999999999</v>
      </c>
      <c r="C136">
        <v>0.39050000000000001</v>
      </c>
      <c r="D136">
        <v>0.625</v>
      </c>
    </row>
    <row r="137" spans="1:4" x14ac:dyDescent="0.2">
      <c r="A137" t="s">
        <v>199</v>
      </c>
      <c r="B137">
        <v>0.14099999999999999</v>
      </c>
      <c r="C137">
        <v>0.36890000000000001</v>
      </c>
      <c r="D137">
        <v>0.48859999999999998</v>
      </c>
    </row>
    <row r="138" spans="1:4" x14ac:dyDescent="0.2">
      <c r="A138" t="s">
        <v>199</v>
      </c>
      <c r="B138">
        <v>0.18390000000000001</v>
      </c>
      <c r="C138">
        <v>0.24329999999999999</v>
      </c>
      <c r="D138">
        <v>0.45450000000000002</v>
      </c>
    </row>
    <row r="139" spans="1:4" x14ac:dyDescent="0.2">
      <c r="A139" t="s">
        <v>199</v>
      </c>
      <c r="B139">
        <v>0.11260000000000001</v>
      </c>
      <c r="C139">
        <v>0.37730000000000002</v>
      </c>
      <c r="D139">
        <v>0.69189999999999996</v>
      </c>
    </row>
    <row r="140" spans="1:4" x14ac:dyDescent="0.2">
      <c r="A140" t="s">
        <v>199</v>
      </c>
      <c r="B140">
        <v>0.1056</v>
      </c>
      <c r="C140">
        <v>0.44019999999999998</v>
      </c>
      <c r="D140">
        <v>0.45040000000000002</v>
      </c>
    </row>
    <row r="141" spans="1:4" x14ac:dyDescent="0.2">
      <c r="A141" t="s">
        <v>199</v>
      </c>
      <c r="B141">
        <v>8.9899999999999994E-2</v>
      </c>
      <c r="C141">
        <v>0.3614</v>
      </c>
      <c r="D141">
        <v>0.75660000000000005</v>
      </c>
    </row>
    <row r="142" spans="1:4" x14ac:dyDescent="0.2">
      <c r="A142" t="s">
        <v>199</v>
      </c>
      <c r="B142">
        <v>0.19550000000000001</v>
      </c>
      <c r="C142">
        <v>0.34520000000000001</v>
      </c>
      <c r="D142">
        <v>0.69789999999999996</v>
      </c>
    </row>
    <row r="143" spans="1:4" x14ac:dyDescent="0.2">
      <c r="A143" t="s">
        <v>199</v>
      </c>
      <c r="B143">
        <v>0.2046</v>
      </c>
      <c r="C143">
        <v>0.53269999999999995</v>
      </c>
      <c r="D143">
        <v>0.85909999999999997</v>
      </c>
    </row>
    <row r="144" spans="1:4" x14ac:dyDescent="0.2">
      <c r="A144" t="s">
        <v>199</v>
      </c>
      <c r="B144">
        <v>0.35759999999999997</v>
      </c>
      <c r="C144">
        <v>0.48</v>
      </c>
      <c r="D144">
        <v>0.87060000000000004</v>
      </c>
    </row>
    <row r="145" spans="1:4" x14ac:dyDescent="0.2">
      <c r="A145" t="s">
        <v>199</v>
      </c>
      <c r="B145">
        <v>0.27389999999999998</v>
      </c>
      <c r="C145">
        <v>0.1457</v>
      </c>
      <c r="D145">
        <v>0.36299999999999999</v>
      </c>
    </row>
    <row r="146" spans="1:4" x14ac:dyDescent="0.2">
      <c r="A146" t="s">
        <v>199</v>
      </c>
      <c r="B146">
        <v>2.9700000000000001E-2</v>
      </c>
      <c r="C146">
        <v>9.3299999999999994E-2</v>
      </c>
      <c r="D146">
        <v>7.2400000000000006E-2</v>
      </c>
    </row>
    <row r="147" spans="1:4" x14ac:dyDescent="0.2">
      <c r="A147" t="s">
        <v>199</v>
      </c>
      <c r="B147">
        <v>6.2100000000000002E-2</v>
      </c>
      <c r="C147">
        <v>2.5100000000000001E-2</v>
      </c>
      <c r="D147">
        <v>9.8900000000000002E-2</v>
      </c>
    </row>
    <row r="148" spans="1:4" x14ac:dyDescent="0.2">
      <c r="A148" t="s">
        <v>199</v>
      </c>
      <c r="B148">
        <v>6.2700000000000006E-2</v>
      </c>
      <c r="C148">
        <v>1.0800000000000001E-2</v>
      </c>
      <c r="D148">
        <v>9.7900000000000001E-2</v>
      </c>
    </row>
    <row r="149" spans="1:4" x14ac:dyDescent="0.2">
      <c r="A149" t="s">
        <v>199</v>
      </c>
      <c r="B149">
        <v>9.7500000000000003E-2</v>
      </c>
      <c r="C149">
        <v>1.7899999999999999E-2</v>
      </c>
      <c r="D149">
        <v>0.2205</v>
      </c>
    </row>
    <row r="150" spans="1:4" x14ac:dyDescent="0.2">
      <c r="A150" t="s">
        <v>199</v>
      </c>
      <c r="B150">
        <v>7.9899999999999999E-2</v>
      </c>
      <c r="C150">
        <v>9.7999999999999997E-3</v>
      </c>
      <c r="D150">
        <v>0.1426</v>
      </c>
    </row>
    <row r="151" spans="1:4" x14ac:dyDescent="0.2">
      <c r="A151" t="s">
        <v>199</v>
      </c>
      <c r="B151">
        <v>4.5600000000000002E-2</v>
      </c>
      <c r="C151">
        <v>0.41039999999999999</v>
      </c>
      <c r="D151">
        <v>0.31030000000000002</v>
      </c>
    </row>
    <row r="152" spans="1:4" x14ac:dyDescent="0.2">
      <c r="A152" t="s">
        <v>199</v>
      </c>
      <c r="B152">
        <v>0.34439999999999998</v>
      </c>
      <c r="C152">
        <v>0.50329999999999997</v>
      </c>
      <c r="D152">
        <v>0.75780000000000003</v>
      </c>
    </row>
    <row r="153" spans="1:4" x14ac:dyDescent="0.2">
      <c r="A153" t="s">
        <v>199</v>
      </c>
      <c r="B153">
        <v>0.187</v>
      </c>
      <c r="C153">
        <v>0.44550000000000001</v>
      </c>
      <c r="D153">
        <v>0.49059999999999998</v>
      </c>
    </row>
    <row r="154" spans="1:4" x14ac:dyDescent="0.2">
      <c r="A154" t="s">
        <v>199</v>
      </c>
      <c r="B154">
        <v>0.33710000000000001</v>
      </c>
      <c r="C154">
        <v>0.50460000000000005</v>
      </c>
      <c r="D154">
        <v>0.83250000000000002</v>
      </c>
    </row>
    <row r="155" spans="1:4" x14ac:dyDescent="0.2">
      <c r="A155" t="s">
        <v>199</v>
      </c>
      <c r="B155">
        <v>0.3483</v>
      </c>
      <c r="C155">
        <v>0.59660000000000002</v>
      </c>
      <c r="D155">
        <v>0.95179999999999998</v>
      </c>
    </row>
    <row r="156" spans="1:4" x14ac:dyDescent="0.2">
      <c r="A156" t="s">
        <v>199</v>
      </c>
      <c r="B156">
        <v>0.2616</v>
      </c>
      <c r="C156">
        <v>0.32200000000000001</v>
      </c>
      <c r="D156">
        <v>0.43940000000000001</v>
      </c>
    </row>
    <row r="157" spans="1:4" x14ac:dyDescent="0.2">
      <c r="A157" t="s">
        <v>199</v>
      </c>
      <c r="B157">
        <v>5.1499999999999997E-2</v>
      </c>
      <c r="C157">
        <v>0.14219999999999999</v>
      </c>
      <c r="D157">
        <v>0.40100000000000002</v>
      </c>
    </row>
    <row r="158" spans="1:4" x14ac:dyDescent="0.2">
      <c r="A158" t="s">
        <v>199</v>
      </c>
      <c r="B158">
        <v>0.10150000000000001</v>
      </c>
      <c r="C158">
        <v>4.3700000000000003E-2</v>
      </c>
      <c r="D158">
        <v>0.15409999999999999</v>
      </c>
    </row>
    <row r="159" spans="1:4" x14ac:dyDescent="0.2">
      <c r="A159" t="s">
        <v>199</v>
      </c>
      <c r="B159">
        <v>0.1845</v>
      </c>
      <c r="C159">
        <v>5.8500000000000003E-2</v>
      </c>
      <c r="D159">
        <v>0.125</v>
      </c>
    </row>
    <row r="160" spans="1:4" x14ac:dyDescent="0.2">
      <c r="A160" t="s">
        <v>199</v>
      </c>
      <c r="B160">
        <v>0.1963</v>
      </c>
      <c r="C160">
        <v>0.24429999999999999</v>
      </c>
      <c r="D160">
        <v>0.39050000000000001</v>
      </c>
    </row>
    <row r="161" spans="1:4" x14ac:dyDescent="0.2">
      <c r="A161" t="s">
        <v>199</v>
      </c>
      <c r="B161">
        <v>0.23449999999999999</v>
      </c>
      <c r="C161">
        <v>0.19739999999999999</v>
      </c>
      <c r="D161">
        <v>0.5746</v>
      </c>
    </row>
    <row r="162" spans="1:4" x14ac:dyDescent="0.2">
      <c r="A162" t="s">
        <v>199</v>
      </c>
      <c r="B162">
        <v>0.3105</v>
      </c>
      <c r="C162">
        <v>0.38819999999999999</v>
      </c>
      <c r="D162">
        <v>0.6008</v>
      </c>
    </row>
    <row r="163" spans="1:4" x14ac:dyDescent="0.2">
      <c r="A163" t="s">
        <v>199</v>
      </c>
      <c r="B163">
        <v>0.2213</v>
      </c>
      <c r="C163">
        <v>0.35449999999999998</v>
      </c>
      <c r="D163">
        <v>0.59009999999999996</v>
      </c>
    </row>
    <row r="164" spans="1:4" x14ac:dyDescent="0.2">
      <c r="A164" t="s">
        <v>199</v>
      </c>
      <c r="B164">
        <v>0.23469999999999999</v>
      </c>
      <c r="C164">
        <v>0.45190000000000002</v>
      </c>
      <c r="D164">
        <v>0.58109999999999995</v>
      </c>
    </row>
    <row r="165" spans="1:4" x14ac:dyDescent="0.2">
      <c r="A165" t="s">
        <v>199</v>
      </c>
      <c r="B165">
        <v>0.25430000000000003</v>
      </c>
      <c r="C165">
        <v>0.46639999999999998</v>
      </c>
      <c r="D165">
        <v>0.79620000000000002</v>
      </c>
    </row>
    <row r="166" spans="1:4" x14ac:dyDescent="0.2">
      <c r="A166" t="s">
        <v>199</v>
      </c>
      <c r="B166">
        <v>0.24690000000000001</v>
      </c>
      <c r="C166">
        <v>0.30430000000000001</v>
      </c>
      <c r="D166">
        <v>0.86350000000000005</v>
      </c>
    </row>
    <row r="167" spans="1:4" x14ac:dyDescent="0.2">
      <c r="A167" t="s">
        <v>199</v>
      </c>
      <c r="B167">
        <v>0.121</v>
      </c>
      <c r="C167">
        <v>0.28670000000000001</v>
      </c>
      <c r="D167">
        <v>0.34870000000000001</v>
      </c>
    </row>
    <row r="168" spans="1:4" x14ac:dyDescent="0.2">
      <c r="A168" t="s">
        <v>199</v>
      </c>
      <c r="B168">
        <v>8.48E-2</v>
      </c>
      <c r="C168">
        <v>0.40550000000000003</v>
      </c>
      <c r="D168">
        <v>0.5242</v>
      </c>
    </row>
    <row r="169" spans="1:4" x14ac:dyDescent="0.2">
      <c r="A169" t="s">
        <v>199</v>
      </c>
      <c r="B169">
        <v>6.9400000000000003E-2</v>
      </c>
      <c r="C169">
        <v>0.2863</v>
      </c>
      <c r="D169">
        <v>0.58979999999999999</v>
      </c>
    </row>
    <row r="170" spans="1:4" x14ac:dyDescent="0.2">
      <c r="A170" t="s">
        <v>199</v>
      </c>
      <c r="B170">
        <v>0.25380000000000003</v>
      </c>
      <c r="C170">
        <v>0.43099999999999999</v>
      </c>
      <c r="D170">
        <v>0.90439999999999998</v>
      </c>
    </row>
    <row r="171" spans="1:4" x14ac:dyDescent="0.2">
      <c r="A171" t="s">
        <v>199</v>
      </c>
      <c r="B171">
        <v>0.68520000000000003</v>
      </c>
      <c r="C171">
        <v>0.65959999999999996</v>
      </c>
      <c r="D171">
        <v>0.90869999999999995</v>
      </c>
    </row>
    <row r="172" spans="1:4" x14ac:dyDescent="0.2">
      <c r="A172" t="s">
        <v>199</v>
      </c>
      <c r="B172">
        <v>0.24010000000000001</v>
      </c>
      <c r="C172">
        <v>0.29520000000000002</v>
      </c>
      <c r="D172">
        <v>0.3599</v>
      </c>
    </row>
    <row r="173" spans="1:4" x14ac:dyDescent="0.2">
      <c r="A173" t="s">
        <v>199</v>
      </c>
      <c r="B173">
        <v>0.1913</v>
      </c>
      <c r="C173">
        <v>0.30349999999999999</v>
      </c>
      <c r="D173">
        <v>0.4365</v>
      </c>
    </row>
    <row r="174" spans="1:4" x14ac:dyDescent="0.2">
      <c r="A174" t="s">
        <v>199</v>
      </c>
      <c r="B174">
        <v>0.158</v>
      </c>
      <c r="C174">
        <v>0.24660000000000001</v>
      </c>
      <c r="D174">
        <v>0.58499999999999996</v>
      </c>
    </row>
    <row r="175" spans="1:4" x14ac:dyDescent="0.2">
      <c r="A175" t="s">
        <v>199</v>
      </c>
      <c r="B175">
        <v>0.1193</v>
      </c>
      <c r="C175">
        <v>0.21990000000000001</v>
      </c>
      <c r="D175">
        <v>0.14460000000000001</v>
      </c>
    </row>
    <row r="176" spans="1:4" x14ac:dyDescent="0.2">
      <c r="A176" t="s">
        <v>199</v>
      </c>
      <c r="B176">
        <v>2.9899999999999999E-2</v>
      </c>
      <c r="C176">
        <v>0.33050000000000002</v>
      </c>
      <c r="D176">
        <v>0.16869999999999999</v>
      </c>
    </row>
    <row r="177" spans="1:4" x14ac:dyDescent="0.2">
      <c r="A177" t="s">
        <v>199</v>
      </c>
      <c r="B177">
        <v>0.124</v>
      </c>
      <c r="C177">
        <v>0.19420000000000001</v>
      </c>
      <c r="D177">
        <v>0.1694</v>
      </c>
    </row>
    <row r="178" spans="1:4" x14ac:dyDescent="0.2">
      <c r="A178" t="s">
        <v>199</v>
      </c>
      <c r="B178">
        <v>8.2100000000000006E-2</v>
      </c>
      <c r="C178">
        <v>0.1149</v>
      </c>
      <c r="D178">
        <v>0.1714</v>
      </c>
    </row>
    <row r="179" spans="1:4" x14ac:dyDescent="0.2">
      <c r="A179" t="s">
        <v>199</v>
      </c>
      <c r="B179">
        <v>6.54E-2</v>
      </c>
      <c r="C179">
        <v>0.1113</v>
      </c>
      <c r="D179">
        <v>0.1217</v>
      </c>
    </row>
    <row r="180" spans="1:4" x14ac:dyDescent="0.2">
      <c r="A180" t="s">
        <v>199</v>
      </c>
      <c r="B180">
        <v>0.13650000000000001</v>
      </c>
      <c r="C180">
        <v>0.10489999999999999</v>
      </c>
      <c r="D180">
        <v>0.51829999999999998</v>
      </c>
    </row>
    <row r="181" spans="1:4" x14ac:dyDescent="0.2">
      <c r="A181" t="s">
        <v>199</v>
      </c>
      <c r="B181">
        <v>0.3044</v>
      </c>
      <c r="C181">
        <v>0.32600000000000001</v>
      </c>
      <c r="D181">
        <v>0.48220000000000002</v>
      </c>
    </row>
    <row r="182" spans="1:4" x14ac:dyDescent="0.2">
      <c r="A182" t="s">
        <v>199</v>
      </c>
      <c r="B182">
        <v>0.1027</v>
      </c>
      <c r="C182">
        <v>0.18590000000000001</v>
      </c>
      <c r="D182">
        <v>0.38100000000000001</v>
      </c>
    </row>
    <row r="183" spans="1:4" x14ac:dyDescent="0.2">
      <c r="A183" t="s">
        <v>199</v>
      </c>
      <c r="B183">
        <v>0.11600000000000001</v>
      </c>
      <c r="C183">
        <v>0.22289999999999999</v>
      </c>
      <c r="D183">
        <v>0.5534</v>
      </c>
    </row>
    <row r="184" spans="1:4" x14ac:dyDescent="0.2">
      <c r="A184" t="s">
        <v>199</v>
      </c>
      <c r="B184">
        <v>0.316</v>
      </c>
      <c r="C184">
        <v>0.26200000000000001</v>
      </c>
      <c r="D184">
        <v>0.78249999999999997</v>
      </c>
    </row>
    <row r="185" spans="1:4" x14ac:dyDescent="0.2">
      <c r="A185" t="s">
        <v>199</v>
      </c>
      <c r="B185">
        <v>0.14710000000000001</v>
      </c>
      <c r="C185">
        <v>0.17380000000000001</v>
      </c>
      <c r="D185">
        <v>0.17699999999999999</v>
      </c>
    </row>
    <row r="186" spans="1:4" x14ac:dyDescent="0.2">
      <c r="A186" t="s">
        <v>199</v>
      </c>
      <c r="B186">
        <v>6.1100000000000002E-2</v>
      </c>
      <c r="C186">
        <v>7.2300000000000003E-2</v>
      </c>
      <c r="D186">
        <v>0.2271</v>
      </c>
    </row>
    <row r="187" spans="1:4" x14ac:dyDescent="0.2">
      <c r="A187" t="s">
        <v>199</v>
      </c>
      <c r="B187">
        <v>5.6399999999999999E-2</v>
      </c>
      <c r="C187">
        <v>0.12709999999999999</v>
      </c>
      <c r="D187">
        <v>0.16250000000000001</v>
      </c>
    </row>
    <row r="188" spans="1:4" x14ac:dyDescent="0.2">
      <c r="A188" t="s">
        <v>199</v>
      </c>
      <c r="B188">
        <v>8.0699999999999994E-2</v>
      </c>
      <c r="C188">
        <v>0.1535</v>
      </c>
      <c r="D188">
        <v>0.38350000000000001</v>
      </c>
    </row>
    <row r="189" spans="1:4" x14ac:dyDescent="0.2">
      <c r="A189" t="s">
        <v>199</v>
      </c>
      <c r="B189">
        <v>0.1678</v>
      </c>
      <c r="C189">
        <v>0.22720000000000001</v>
      </c>
      <c r="D189">
        <v>0.45300000000000001</v>
      </c>
    </row>
    <row r="190" spans="1:4" x14ac:dyDescent="0.2">
      <c r="A190" t="s">
        <v>199</v>
      </c>
      <c r="B190">
        <v>0.1047</v>
      </c>
      <c r="C190">
        <v>0.23219999999999999</v>
      </c>
      <c r="D190">
        <v>0.31900000000000001</v>
      </c>
    </row>
    <row r="191" spans="1:4" x14ac:dyDescent="0.2">
      <c r="A191" t="s">
        <v>199</v>
      </c>
      <c r="B191">
        <v>4.3499999999999997E-2</v>
      </c>
      <c r="C191">
        <v>0.20880000000000001</v>
      </c>
      <c r="D191">
        <v>0</v>
      </c>
    </row>
    <row r="192" spans="1:4" x14ac:dyDescent="0.2">
      <c r="A192" t="s">
        <v>199</v>
      </c>
      <c r="B192">
        <v>8.0199999999999994E-2</v>
      </c>
      <c r="C192">
        <v>0.1467</v>
      </c>
      <c r="D192">
        <v>0.27910000000000001</v>
      </c>
    </row>
    <row r="193" spans="1:4" x14ac:dyDescent="0.2">
      <c r="A193" t="s">
        <v>199</v>
      </c>
      <c r="B193">
        <v>0.45939999999999998</v>
      </c>
      <c r="C193">
        <v>0.4511</v>
      </c>
      <c r="D193">
        <v>0.47449999999999998</v>
      </c>
    </row>
    <row r="194" spans="1:4" x14ac:dyDescent="0.2">
      <c r="A194" t="s">
        <v>199</v>
      </c>
      <c r="B194">
        <v>0.27229999999999999</v>
      </c>
      <c r="C194">
        <v>0.4264</v>
      </c>
      <c r="D194">
        <v>0.74590000000000001</v>
      </c>
    </row>
    <row r="195" spans="1:4" x14ac:dyDescent="0.2">
      <c r="A195" t="s">
        <v>199</v>
      </c>
      <c r="B195">
        <v>0.34250000000000003</v>
      </c>
      <c r="C195">
        <v>0.49469999999999997</v>
      </c>
      <c r="D195">
        <v>0.7772</v>
      </c>
    </row>
    <row r="196" spans="1:4" x14ac:dyDescent="0.2">
      <c r="A196" t="s">
        <v>199</v>
      </c>
      <c r="B196">
        <v>0.18160000000000001</v>
      </c>
      <c r="C196">
        <v>0.24</v>
      </c>
      <c r="D196">
        <v>0.56899999999999995</v>
      </c>
    </row>
    <row r="197" spans="1:4" x14ac:dyDescent="0.2">
      <c r="A197" t="s">
        <v>199</v>
      </c>
      <c r="B197">
        <v>7.0300000000000001E-2</v>
      </c>
      <c r="C197">
        <v>0.3009</v>
      </c>
      <c r="D197">
        <v>0</v>
      </c>
    </row>
    <row r="198" spans="1:4" x14ac:dyDescent="0.2">
      <c r="A198" t="s">
        <v>199</v>
      </c>
      <c r="B198">
        <v>9.35E-2</v>
      </c>
      <c r="C198">
        <v>0.31040000000000001</v>
      </c>
      <c r="D198">
        <v>0.13639999999999999</v>
      </c>
    </row>
    <row r="199" spans="1:4" x14ac:dyDescent="0.2">
      <c r="A199" t="s">
        <v>199</v>
      </c>
      <c r="B199">
        <v>4.87E-2</v>
      </c>
      <c r="C199">
        <v>0.25569999999999998</v>
      </c>
      <c r="D199">
        <v>0.12709999999999999</v>
      </c>
    </row>
    <row r="200" spans="1:4" x14ac:dyDescent="0.2">
      <c r="A200" t="s">
        <v>199</v>
      </c>
      <c r="B200">
        <v>3.0599999999999999E-2</v>
      </c>
      <c r="C200">
        <v>0.1923</v>
      </c>
      <c r="D200">
        <v>8.5900000000000004E-2</v>
      </c>
    </row>
    <row r="201" spans="1:4" x14ac:dyDescent="0.2">
      <c r="A201" t="s">
        <v>199</v>
      </c>
      <c r="B201">
        <v>7.6700000000000004E-2</v>
      </c>
      <c r="C201">
        <v>0.20730000000000001</v>
      </c>
      <c r="D201">
        <v>0</v>
      </c>
    </row>
    <row r="202" spans="1:4" x14ac:dyDescent="0.2">
      <c r="A202" t="s">
        <v>199</v>
      </c>
      <c r="B202">
        <v>1.6799999999999999E-2</v>
      </c>
      <c r="C202">
        <v>0.24160000000000001</v>
      </c>
      <c r="D202">
        <v>8.6800000000000002E-2</v>
      </c>
    </row>
    <row r="203" spans="1:4" x14ac:dyDescent="0.2">
      <c r="A203" t="s">
        <v>199</v>
      </c>
      <c r="B203">
        <v>0.22650000000000001</v>
      </c>
      <c r="C203">
        <v>0.41420000000000001</v>
      </c>
      <c r="D203">
        <v>0.874</v>
      </c>
    </row>
    <row r="204" spans="1:4" x14ac:dyDescent="0.2">
      <c r="A204" t="s">
        <v>199</v>
      </c>
      <c r="B204">
        <v>0.14280000000000001</v>
      </c>
      <c r="C204">
        <v>0.40870000000000001</v>
      </c>
      <c r="D204">
        <v>0.8458</v>
      </c>
    </row>
    <row r="205" spans="1:4" x14ac:dyDescent="0.2">
      <c r="A205" t="s">
        <v>199</v>
      </c>
      <c r="B205">
        <v>0.1865</v>
      </c>
      <c r="C205">
        <v>0.17810000000000001</v>
      </c>
      <c r="D205">
        <v>0.43219999999999997</v>
      </c>
    </row>
    <row r="206" spans="1:4" x14ac:dyDescent="0.2">
      <c r="A206" t="s">
        <v>199</v>
      </c>
      <c r="B206">
        <v>0.25990000000000002</v>
      </c>
      <c r="C206">
        <v>0.51390000000000002</v>
      </c>
      <c r="D206">
        <v>0.67889999999999995</v>
      </c>
    </row>
    <row r="207" spans="1:4" x14ac:dyDescent="0.2">
      <c r="A207" t="s">
        <v>199</v>
      </c>
      <c r="B207">
        <v>0.6532</v>
      </c>
      <c r="C207">
        <v>0.65610000000000002</v>
      </c>
      <c r="D207">
        <v>0.92759999999999998</v>
      </c>
    </row>
    <row r="208" spans="1:4" x14ac:dyDescent="0.2">
      <c r="A208" t="s">
        <v>199</v>
      </c>
      <c r="B208">
        <v>0.16159999999999999</v>
      </c>
      <c r="C208">
        <v>0.36259999999999998</v>
      </c>
      <c r="D208">
        <v>0.59599999999999997</v>
      </c>
    </row>
    <row r="209" spans="1:4" x14ac:dyDescent="0.2">
      <c r="A209" t="s">
        <v>199</v>
      </c>
      <c r="B209">
        <v>0.20630000000000001</v>
      </c>
      <c r="C209">
        <v>0.24829999999999999</v>
      </c>
      <c r="D209">
        <v>0.21210000000000001</v>
      </c>
    </row>
    <row r="210" spans="1:4" x14ac:dyDescent="0.2">
      <c r="A210" t="s">
        <v>199</v>
      </c>
      <c r="B210">
        <v>0.2021</v>
      </c>
      <c r="C210">
        <v>0.504</v>
      </c>
      <c r="D210">
        <v>0.66220000000000001</v>
      </c>
    </row>
    <row r="211" spans="1:4" x14ac:dyDescent="0.2">
      <c r="A211" t="s">
        <v>199</v>
      </c>
      <c r="B211">
        <v>0.33550000000000002</v>
      </c>
      <c r="C211">
        <v>0.52680000000000005</v>
      </c>
      <c r="D211">
        <v>1</v>
      </c>
    </row>
    <row r="212" spans="1:4" x14ac:dyDescent="0.2">
      <c r="A212" t="s">
        <v>199</v>
      </c>
      <c r="B212">
        <v>0.35549999999999998</v>
      </c>
      <c r="C212">
        <v>0.35339999999999999</v>
      </c>
      <c r="D212">
        <v>0.48480000000000001</v>
      </c>
    </row>
    <row r="213" spans="1:4" x14ac:dyDescent="0.2">
      <c r="A213" t="s">
        <v>199</v>
      </c>
      <c r="B213">
        <v>0.21990000000000001</v>
      </c>
      <c r="C213">
        <v>0.25419999999999998</v>
      </c>
      <c r="D213">
        <v>0.6885</v>
      </c>
    </row>
    <row r="214" spans="1:4" x14ac:dyDescent="0.2">
      <c r="A214" t="s">
        <v>199</v>
      </c>
      <c r="B214">
        <v>0.3518</v>
      </c>
      <c r="C214">
        <v>0.4078</v>
      </c>
      <c r="D214">
        <v>0.62929999999999997</v>
      </c>
    </row>
    <row r="215" spans="1:4" x14ac:dyDescent="0.2">
      <c r="A215" t="s">
        <v>199</v>
      </c>
      <c r="B215">
        <v>0.31780000000000003</v>
      </c>
      <c r="C215">
        <v>0.35599999999999998</v>
      </c>
      <c r="D215">
        <v>0.65100000000000002</v>
      </c>
    </row>
    <row r="216" spans="1:4" x14ac:dyDescent="0.2">
      <c r="A216" t="s">
        <v>199</v>
      </c>
      <c r="B216">
        <v>0</v>
      </c>
      <c r="C216">
        <v>0.4612</v>
      </c>
      <c r="D216">
        <v>0</v>
      </c>
    </row>
    <row r="217" spans="1:4" x14ac:dyDescent="0.2">
      <c r="A217" t="s">
        <v>199</v>
      </c>
      <c r="B217">
        <v>0.42909999999999998</v>
      </c>
      <c r="C217">
        <v>0.5111</v>
      </c>
      <c r="D217">
        <v>0.85599999999999998</v>
      </c>
    </row>
    <row r="218" spans="1:4" x14ac:dyDescent="0.2">
      <c r="A218" t="s">
        <v>199</v>
      </c>
      <c r="B218">
        <v>0.26750000000000002</v>
      </c>
      <c r="C218">
        <v>0.29160000000000003</v>
      </c>
      <c r="D218">
        <v>0.43630000000000002</v>
      </c>
    </row>
    <row r="219" spans="1:4" x14ac:dyDescent="0.2">
      <c r="A219" t="s">
        <v>198</v>
      </c>
      <c r="B219">
        <v>3.73E-2</v>
      </c>
      <c r="C219">
        <v>8.5300000000000001E-2</v>
      </c>
      <c r="D219">
        <v>0</v>
      </c>
    </row>
    <row r="220" spans="1:4" x14ac:dyDescent="0.2">
      <c r="A220" t="s">
        <v>198</v>
      </c>
      <c r="B220">
        <v>4.9399999999999999E-2</v>
      </c>
      <c r="C220">
        <v>0.16719999999999999</v>
      </c>
      <c r="D220">
        <v>0.90910000000000002</v>
      </c>
    </row>
    <row r="221" spans="1:4" x14ac:dyDescent="0.2">
      <c r="A221" t="s">
        <v>198</v>
      </c>
      <c r="B221">
        <v>7.8600000000000003E-2</v>
      </c>
      <c r="C221">
        <v>0</v>
      </c>
      <c r="D221">
        <v>0.16669999999999999</v>
      </c>
    </row>
    <row r="222" spans="1:4" x14ac:dyDescent="0.2">
      <c r="A222" t="s">
        <v>198</v>
      </c>
      <c r="B222">
        <v>9.3299999999999994E-2</v>
      </c>
      <c r="C222">
        <v>9.8699999999999996E-2</v>
      </c>
      <c r="D222">
        <v>0.37059999999999998</v>
      </c>
    </row>
    <row r="223" spans="1:4" x14ac:dyDescent="0.2">
      <c r="A223" t="s">
        <v>198</v>
      </c>
      <c r="B223">
        <v>5.4600000000000003E-2</v>
      </c>
      <c r="C223">
        <v>0.20730000000000001</v>
      </c>
      <c r="D223">
        <v>0.10059999999999999</v>
      </c>
    </row>
    <row r="224" spans="1:4" x14ac:dyDescent="0.2">
      <c r="A224" t="s">
        <v>198</v>
      </c>
      <c r="B224">
        <v>7.1199999999999999E-2</v>
      </c>
      <c r="C224">
        <v>6.8500000000000005E-2</v>
      </c>
      <c r="D224">
        <v>9.3200000000000005E-2</v>
      </c>
    </row>
    <row r="225" spans="1:4" x14ac:dyDescent="0.2">
      <c r="A225" t="s">
        <v>198</v>
      </c>
      <c r="B225">
        <v>9.9900000000000003E-2</v>
      </c>
      <c r="C225">
        <v>0.14019999999999999</v>
      </c>
      <c r="D225">
        <v>0.32119999999999999</v>
      </c>
    </row>
    <row r="226" spans="1:4" x14ac:dyDescent="0.2">
      <c r="A226" t="s">
        <v>198</v>
      </c>
      <c r="B226">
        <v>5.2600000000000001E-2</v>
      </c>
      <c r="C226">
        <v>1.38E-2</v>
      </c>
      <c r="D226">
        <v>0.23780000000000001</v>
      </c>
    </row>
    <row r="227" spans="1:4" x14ac:dyDescent="0.2">
      <c r="A227" t="s">
        <v>198</v>
      </c>
      <c r="B227">
        <v>6.7699999999999996E-2</v>
      </c>
      <c r="C227">
        <v>2.7799999999999998E-2</v>
      </c>
      <c r="D227">
        <v>0.1429</v>
      </c>
    </row>
    <row r="228" spans="1:4" x14ac:dyDescent="0.2">
      <c r="A228" t="s">
        <v>198</v>
      </c>
      <c r="B228">
        <v>4.9000000000000002E-2</v>
      </c>
      <c r="C228">
        <v>9.5699999999999993E-2</v>
      </c>
      <c r="D228">
        <v>0.40889999999999999</v>
      </c>
    </row>
    <row r="229" spans="1:4" x14ac:dyDescent="0.2">
      <c r="A229" t="s">
        <v>198</v>
      </c>
      <c r="B229">
        <v>8.5699999999999998E-2</v>
      </c>
      <c r="C229">
        <v>0.19189999999999999</v>
      </c>
      <c r="D229">
        <v>0.14710000000000001</v>
      </c>
    </row>
    <row r="230" spans="1:4" x14ac:dyDescent="0.2">
      <c r="A230" t="s">
        <v>198</v>
      </c>
      <c r="B230">
        <v>8.9099999999999999E-2</v>
      </c>
      <c r="C230">
        <v>0.21709999999999999</v>
      </c>
      <c r="D230">
        <v>0.55969999999999998</v>
      </c>
    </row>
    <row r="231" spans="1:4" x14ac:dyDescent="0.2">
      <c r="A231" t="s">
        <v>198</v>
      </c>
      <c r="B231">
        <v>0.1028</v>
      </c>
      <c r="C231">
        <v>0.12479999999999999</v>
      </c>
      <c r="D231">
        <v>0.36880000000000002</v>
      </c>
    </row>
    <row r="232" spans="1:4" x14ac:dyDescent="0.2">
      <c r="A232" t="s">
        <v>198</v>
      </c>
      <c r="B232">
        <v>6.0499999999999998E-2</v>
      </c>
      <c r="C232">
        <v>7.2400000000000006E-2</v>
      </c>
      <c r="D232">
        <v>0.58250000000000002</v>
      </c>
    </row>
    <row r="233" spans="1:4" x14ac:dyDescent="0.2">
      <c r="A233" t="s">
        <v>198</v>
      </c>
      <c r="B233">
        <v>6.83E-2</v>
      </c>
      <c r="C233">
        <v>0.11409999999999999</v>
      </c>
      <c r="D233">
        <v>0.24729999999999999</v>
      </c>
    </row>
    <row r="234" spans="1:4" x14ac:dyDescent="0.2">
      <c r="A234" t="s">
        <v>198</v>
      </c>
      <c r="B234">
        <v>0.14069999999999999</v>
      </c>
      <c r="C234">
        <v>0.13669999999999999</v>
      </c>
      <c r="D234">
        <v>0.34129999999999999</v>
      </c>
    </row>
    <row r="235" spans="1:4" x14ac:dyDescent="0.2">
      <c r="A235" t="s">
        <v>198</v>
      </c>
      <c r="B235">
        <v>4.7100000000000003E-2</v>
      </c>
      <c r="C235">
        <v>3.4000000000000002E-2</v>
      </c>
      <c r="D235">
        <v>0.54810000000000003</v>
      </c>
    </row>
    <row r="236" spans="1:4" x14ac:dyDescent="0.2">
      <c r="A236" t="s">
        <v>198</v>
      </c>
      <c r="B236">
        <v>8.8800000000000004E-2</v>
      </c>
      <c r="C236">
        <v>0.2218</v>
      </c>
      <c r="D236">
        <v>0.57889999999999997</v>
      </c>
    </row>
    <row r="237" spans="1:4" x14ac:dyDescent="0.2">
      <c r="A237" t="s">
        <v>198</v>
      </c>
      <c r="B237">
        <v>0.1048</v>
      </c>
      <c r="C237">
        <v>0.13489999999999999</v>
      </c>
      <c r="D237">
        <v>0.17530000000000001</v>
      </c>
    </row>
    <row r="238" spans="1:4" x14ac:dyDescent="0.2">
      <c r="A238" t="s">
        <v>198</v>
      </c>
      <c r="B238">
        <v>0.114</v>
      </c>
      <c r="C238">
        <v>0.1888</v>
      </c>
      <c r="D238">
        <v>0.39150000000000001</v>
      </c>
    </row>
    <row r="239" spans="1:4" x14ac:dyDescent="0.2">
      <c r="A239" t="s">
        <v>198</v>
      </c>
      <c r="B239">
        <v>9.4899999999999998E-2</v>
      </c>
      <c r="C239">
        <v>2.5499999999999998E-2</v>
      </c>
      <c r="D239">
        <v>0.2432</v>
      </c>
    </row>
    <row r="240" spans="1:4" x14ac:dyDescent="0.2">
      <c r="A240" t="s">
        <v>198</v>
      </c>
      <c r="B240">
        <v>0.17810000000000001</v>
      </c>
      <c r="C240">
        <v>0.24929999999999999</v>
      </c>
      <c r="D240">
        <v>0.46879999999999999</v>
      </c>
    </row>
    <row r="241" spans="1:4" x14ac:dyDescent="0.2">
      <c r="A241" t="s">
        <v>198</v>
      </c>
      <c r="B241">
        <v>6.6299999999999998E-2</v>
      </c>
      <c r="C241">
        <v>0.26889999999999997</v>
      </c>
      <c r="D241">
        <v>0.17899999999999999</v>
      </c>
    </row>
    <row r="242" spans="1:4" x14ac:dyDescent="0.2">
      <c r="A242" t="s">
        <v>198</v>
      </c>
      <c r="B242">
        <v>7.0000000000000007E-2</v>
      </c>
      <c r="C242">
        <v>0.13619999999999999</v>
      </c>
      <c r="D242">
        <v>0.15970000000000001</v>
      </c>
    </row>
    <row r="243" spans="1:4" x14ac:dyDescent="0.2">
      <c r="A243" t="s">
        <v>198</v>
      </c>
      <c r="B243">
        <v>8.9200000000000002E-2</v>
      </c>
      <c r="C243">
        <v>0.2462</v>
      </c>
      <c r="D243">
        <v>0.14019999999999999</v>
      </c>
    </row>
    <row r="244" spans="1:4" x14ac:dyDescent="0.2">
      <c r="A244" t="s">
        <v>198</v>
      </c>
      <c r="B244">
        <v>9.1999999999999998E-2</v>
      </c>
      <c r="C244">
        <v>0.22750000000000001</v>
      </c>
      <c r="D244">
        <v>0.1515</v>
      </c>
    </row>
    <row r="245" spans="1:4" x14ac:dyDescent="0.2">
      <c r="A245" t="s">
        <v>198</v>
      </c>
      <c r="B245">
        <v>6.6600000000000006E-2</v>
      </c>
      <c r="C245">
        <v>0.23530000000000001</v>
      </c>
      <c r="D245">
        <v>0.28649999999999998</v>
      </c>
    </row>
    <row r="246" spans="1:4" x14ac:dyDescent="0.2">
      <c r="A246" t="s">
        <v>198</v>
      </c>
      <c r="B246">
        <v>0.12870000000000001</v>
      </c>
      <c r="C246">
        <v>0.2346</v>
      </c>
      <c r="D246">
        <v>0.25719999999999998</v>
      </c>
    </row>
    <row r="247" spans="1:4" x14ac:dyDescent="0.2">
      <c r="A247" t="s">
        <v>198</v>
      </c>
      <c r="B247">
        <v>7.7100000000000002E-2</v>
      </c>
      <c r="C247">
        <v>0.1295</v>
      </c>
      <c r="D247">
        <v>0.18329999999999999</v>
      </c>
    </row>
    <row r="248" spans="1:4" x14ac:dyDescent="0.2">
      <c r="A248" t="s">
        <v>198</v>
      </c>
      <c r="B248">
        <v>0.1472</v>
      </c>
      <c r="C248">
        <v>0.28649999999999998</v>
      </c>
      <c r="D248">
        <v>0.47060000000000002</v>
      </c>
    </row>
    <row r="249" spans="1:4" x14ac:dyDescent="0.2">
      <c r="A249" t="s">
        <v>198</v>
      </c>
      <c r="B249">
        <v>0.1396</v>
      </c>
      <c r="C249">
        <v>0.20230000000000001</v>
      </c>
      <c r="D249">
        <v>0.53910000000000002</v>
      </c>
    </row>
    <row r="250" spans="1:4" x14ac:dyDescent="0.2">
      <c r="A250" t="s">
        <v>198</v>
      </c>
      <c r="B250">
        <v>8.6699999999999999E-2</v>
      </c>
      <c r="C250">
        <v>0.2364</v>
      </c>
      <c r="D250">
        <v>0.40389999999999998</v>
      </c>
    </row>
    <row r="251" spans="1:4" x14ac:dyDescent="0.2">
      <c r="A251" t="s">
        <v>198</v>
      </c>
      <c r="B251">
        <v>0.12540000000000001</v>
      </c>
      <c r="C251">
        <v>0.21149999999999999</v>
      </c>
      <c r="D251">
        <v>0.35639999999999999</v>
      </c>
    </row>
    <row r="252" spans="1:4" x14ac:dyDescent="0.2">
      <c r="A252" t="s">
        <v>198</v>
      </c>
      <c r="B252">
        <v>4.8000000000000001E-2</v>
      </c>
      <c r="C252">
        <v>0.2467</v>
      </c>
      <c r="D252">
        <v>0.3125</v>
      </c>
    </row>
    <row r="253" spans="1:4" x14ac:dyDescent="0.2">
      <c r="A253" t="s">
        <v>198</v>
      </c>
      <c r="B253">
        <v>0.17810000000000001</v>
      </c>
      <c r="C253">
        <v>0.2102</v>
      </c>
      <c r="D253">
        <v>0.33729999999999999</v>
      </c>
    </row>
    <row r="254" spans="1:4" x14ac:dyDescent="0.2">
      <c r="A254" t="s">
        <v>198</v>
      </c>
      <c r="B254">
        <v>0.15479999999999999</v>
      </c>
      <c r="C254">
        <v>0.2626</v>
      </c>
      <c r="D254">
        <v>0.32369999999999999</v>
      </c>
    </row>
    <row r="255" spans="1:4" x14ac:dyDescent="0.2">
      <c r="A255" t="s">
        <v>198</v>
      </c>
      <c r="B255">
        <v>0.1129</v>
      </c>
      <c r="C255">
        <v>0.27589999999999998</v>
      </c>
      <c r="D255">
        <v>0.39040000000000002</v>
      </c>
    </row>
    <row r="256" spans="1:4" x14ac:dyDescent="0.2">
      <c r="A256" t="s">
        <v>198</v>
      </c>
      <c r="B256">
        <v>0.24060000000000001</v>
      </c>
      <c r="C256">
        <v>0.2457</v>
      </c>
      <c r="D256">
        <v>0.32090000000000002</v>
      </c>
    </row>
    <row r="257" spans="1:4" x14ac:dyDescent="0.2">
      <c r="A257" t="s">
        <v>198</v>
      </c>
      <c r="B257">
        <v>0.1109</v>
      </c>
      <c r="C257">
        <v>0.2487</v>
      </c>
      <c r="D257">
        <v>0.47889999999999999</v>
      </c>
    </row>
    <row r="258" spans="1:4" x14ac:dyDescent="0.2">
      <c r="A258" t="s">
        <v>198</v>
      </c>
      <c r="B258">
        <v>0.20300000000000001</v>
      </c>
      <c r="C258">
        <v>0.1762</v>
      </c>
      <c r="D258">
        <v>0.30259999999999998</v>
      </c>
    </row>
    <row r="259" spans="1:4" x14ac:dyDescent="0.2">
      <c r="A259" t="s">
        <v>198</v>
      </c>
      <c r="B259">
        <v>9.6000000000000002E-2</v>
      </c>
      <c r="C259">
        <v>0.18659999999999999</v>
      </c>
      <c r="D259">
        <v>0.52129999999999999</v>
      </c>
    </row>
    <row r="260" spans="1:4" x14ac:dyDescent="0.2">
      <c r="A260" t="s">
        <v>198</v>
      </c>
      <c r="B260">
        <v>0.2208</v>
      </c>
      <c r="C260">
        <v>0.32240000000000002</v>
      </c>
      <c r="D260">
        <v>0.4274</v>
      </c>
    </row>
    <row r="261" spans="1:4" x14ac:dyDescent="0.2">
      <c r="A261" t="s">
        <v>198</v>
      </c>
      <c r="B261">
        <v>0.22189999999999999</v>
      </c>
      <c r="C261">
        <v>0.30520000000000003</v>
      </c>
      <c r="D261">
        <v>0.41149999999999998</v>
      </c>
    </row>
    <row r="262" spans="1:4" x14ac:dyDescent="0.2">
      <c r="A262" t="s">
        <v>198</v>
      </c>
      <c r="B262">
        <v>0.18129999999999999</v>
      </c>
      <c r="C262">
        <v>0.20330000000000001</v>
      </c>
      <c r="D262">
        <v>0.33629999999999999</v>
      </c>
    </row>
    <row r="263" spans="1:4" x14ac:dyDescent="0.2">
      <c r="A263" t="s">
        <v>198</v>
      </c>
      <c r="B263">
        <v>0.1338</v>
      </c>
      <c r="C263">
        <v>0.25109999999999999</v>
      </c>
      <c r="D263">
        <v>0.42399999999999999</v>
      </c>
    </row>
    <row r="264" spans="1:4" x14ac:dyDescent="0.2">
      <c r="A264" t="s">
        <v>198</v>
      </c>
      <c r="B264">
        <v>9.4600000000000004E-2</v>
      </c>
      <c r="C264">
        <v>0.20399999999999999</v>
      </c>
      <c r="D264">
        <v>0.42609999999999998</v>
      </c>
    </row>
    <row r="265" spans="1:4" x14ac:dyDescent="0.2">
      <c r="A265" t="s">
        <v>198</v>
      </c>
      <c r="B265">
        <v>0.26419999999999999</v>
      </c>
      <c r="C265">
        <v>0.2757</v>
      </c>
      <c r="D265">
        <v>0.56759999999999999</v>
      </c>
    </row>
    <row r="266" spans="1:4" x14ac:dyDescent="0.2">
      <c r="A266" t="s">
        <v>198</v>
      </c>
      <c r="B266">
        <v>0.16650000000000001</v>
      </c>
      <c r="C266">
        <v>0.33850000000000002</v>
      </c>
      <c r="D266">
        <v>0.66720000000000002</v>
      </c>
    </row>
    <row r="267" spans="1:4" x14ac:dyDescent="0.2">
      <c r="A267" t="s">
        <v>198</v>
      </c>
      <c r="B267">
        <v>0.1585</v>
      </c>
      <c r="C267">
        <v>0.22600000000000001</v>
      </c>
      <c r="D267">
        <v>0.40310000000000001</v>
      </c>
    </row>
    <row r="268" spans="1:4" x14ac:dyDescent="0.2">
      <c r="A268" t="s">
        <v>198</v>
      </c>
      <c r="B268">
        <v>0.20549999999999999</v>
      </c>
      <c r="C268">
        <v>0.29549999999999998</v>
      </c>
      <c r="D268">
        <v>0.55800000000000005</v>
      </c>
    </row>
    <row r="269" spans="1:4" x14ac:dyDescent="0.2">
      <c r="A269" t="s">
        <v>198</v>
      </c>
      <c r="B269">
        <v>5.4899999999999997E-2</v>
      </c>
      <c r="C269">
        <v>0.1983</v>
      </c>
      <c r="D269">
        <v>0.35049999999999998</v>
      </c>
    </row>
    <row r="270" spans="1:4" x14ac:dyDescent="0.2">
      <c r="A270" t="s">
        <v>198</v>
      </c>
      <c r="B270">
        <v>0.17050000000000001</v>
      </c>
      <c r="C270">
        <v>0.21890000000000001</v>
      </c>
      <c r="D270">
        <v>0.35580000000000001</v>
      </c>
    </row>
    <row r="271" spans="1:4" x14ac:dyDescent="0.2">
      <c r="A271" t="s">
        <v>198</v>
      </c>
      <c r="B271">
        <v>0.1409</v>
      </c>
      <c r="C271">
        <v>0.39689999999999998</v>
      </c>
      <c r="D271">
        <v>0.42680000000000001</v>
      </c>
    </row>
    <row r="272" spans="1:4" x14ac:dyDescent="0.2">
      <c r="A272" t="s">
        <v>198</v>
      </c>
      <c r="B272">
        <v>0.29580000000000001</v>
      </c>
      <c r="C272">
        <v>0.29609999999999997</v>
      </c>
      <c r="D272">
        <v>0.40460000000000002</v>
      </c>
    </row>
    <row r="273" spans="1:4" x14ac:dyDescent="0.2">
      <c r="A273" t="s">
        <v>198</v>
      </c>
      <c r="B273">
        <v>0.1585</v>
      </c>
      <c r="C273">
        <v>0.32040000000000002</v>
      </c>
      <c r="D273">
        <v>0.31409999999999999</v>
      </c>
    </row>
    <row r="274" spans="1:4" x14ac:dyDescent="0.2">
      <c r="A274" t="s">
        <v>198</v>
      </c>
      <c r="B274">
        <v>0.24249999999999999</v>
      </c>
      <c r="C274">
        <v>0.34849999999999998</v>
      </c>
      <c r="D274">
        <v>0.48010000000000003</v>
      </c>
    </row>
  </sheetData>
  <mergeCells count="4">
    <mergeCell ref="J4:K4"/>
    <mergeCell ref="L4:M4"/>
    <mergeCell ref="J10:K10"/>
    <mergeCell ref="L10:M10"/>
  </mergeCells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218"/>
  <sheetViews>
    <sheetView workbookViewId="0">
      <selection sqref="A1:H218"/>
    </sheetView>
  </sheetViews>
  <sheetFormatPr baseColWidth="10" defaultRowHeight="16" x14ac:dyDescent="0.2"/>
  <cols>
    <col min="1" max="1" width="19.6640625" customWidth="1"/>
    <col min="2" max="2" width="33.5" customWidth="1"/>
    <col min="3" max="8" width="17" customWidth="1"/>
  </cols>
  <sheetData>
    <row r="1" spans="1:8" x14ac:dyDescent="0.2">
      <c r="A1" t="s">
        <v>0</v>
      </c>
      <c r="B1" t="s">
        <v>1</v>
      </c>
      <c r="C1" t="s">
        <v>140</v>
      </c>
      <c r="D1" t="s">
        <v>144</v>
      </c>
      <c r="E1" t="s">
        <v>141</v>
      </c>
      <c r="F1" t="s">
        <v>142</v>
      </c>
      <c r="G1" t="s">
        <v>143</v>
      </c>
      <c r="H1" t="s">
        <v>145</v>
      </c>
    </row>
    <row r="2" spans="1:8" x14ac:dyDescent="0.2">
      <c r="A2">
        <v>24510010200</v>
      </c>
      <c r="B2" t="s">
        <v>39</v>
      </c>
      <c r="C2">
        <v>31108</v>
      </c>
      <c r="D2">
        <f>VLOOKUP(A2,[4]shown_tract_poor_share2016!$A$2:$C$378,3,0)</f>
        <v>0.1062</v>
      </c>
      <c r="E2">
        <f>VLOOKUP(A2,[1]shown_tract_teenbirth_rP_gF_pal!$A$2:$C$378,3,0)</f>
        <v>0.29249999999999998</v>
      </c>
      <c r="F2">
        <f>VLOOKUP(A2,[2]shown_tract_married_rP_gF_pall!$A$2:$C$378,3,0)</f>
        <v>0.26679999999999998</v>
      </c>
      <c r="G2">
        <f>VLOOKUP(A2,[3]shown_tract_median_rent2016!$A$2:$C$378,3,0)</f>
        <v>1690</v>
      </c>
      <c r="H2">
        <f>VLOOKUP(A2,[5]shown_tract_singleparent_share2!$A$2:$C$378,3,0)</f>
        <v>0.15870000000000001</v>
      </c>
    </row>
    <row r="3" spans="1:8" x14ac:dyDescent="0.2">
      <c r="A3">
        <v>24510010300</v>
      </c>
      <c r="B3" t="s">
        <v>17</v>
      </c>
      <c r="C3">
        <v>33660</v>
      </c>
      <c r="D3">
        <f>VLOOKUP(A3,[4]shown_tract_poor_share2016!$A$2:$C$378,3,0)</f>
        <v>6.0100000000000001E-2</v>
      </c>
      <c r="E3">
        <f>VLOOKUP(A3,[1]shown_tract_teenbirth_rP_gF_pal!$A$2:$C$378,3,0)</f>
        <v>0.27779999999999999</v>
      </c>
      <c r="F3">
        <f>VLOOKUP(A3,[2]shown_tract_married_rP_gF_pall!$A$2:$C$378,3,0)</f>
        <v>0.2626</v>
      </c>
      <c r="G3">
        <f>VLOOKUP(A3,[3]shown_tract_median_rent2016!$A$2:$C$378,3,0)</f>
        <v>1897</v>
      </c>
      <c r="H3">
        <f>VLOOKUP(A3,[5]shown_tract_singleparent_share2!$A$2:$C$378,3,0)</f>
        <v>8.6400000000000005E-2</v>
      </c>
    </row>
    <row r="4" spans="1:8" x14ac:dyDescent="0.2">
      <c r="A4">
        <v>24510010500</v>
      </c>
      <c r="B4" t="s">
        <v>31</v>
      </c>
      <c r="C4">
        <v>33161</v>
      </c>
      <c r="D4">
        <f>VLOOKUP(A4,[4]shown_tract_poor_share2016!$A$2:$C$378,3,0)</f>
        <v>7.8200000000000006E-2</v>
      </c>
      <c r="E4">
        <f>VLOOKUP(A4,[1]shown_tract_teenbirth_rP_gF_pal!$A$2:$C$378,3,0)</f>
        <v>0.31869999999999998</v>
      </c>
      <c r="F4">
        <f>VLOOKUP(A4,[2]shown_tract_married_rP_gF_pall!$A$2:$C$378,3,0)</f>
        <v>0.30959999999999999</v>
      </c>
      <c r="G4">
        <f>VLOOKUP(A4,[3]shown_tract_median_rent2016!$A$2:$C$378,3,0)</f>
        <v>1492</v>
      </c>
      <c r="H4">
        <f>VLOOKUP(A4,[5]shown_tract_singleparent_share2!$A$2:$C$378,3,0)</f>
        <v>0.29730000000000001</v>
      </c>
    </row>
    <row r="5" spans="1:8" x14ac:dyDescent="0.2">
      <c r="A5">
        <v>24510020100</v>
      </c>
      <c r="B5" t="s">
        <v>31</v>
      </c>
      <c r="C5">
        <v>29083</v>
      </c>
      <c r="D5">
        <f>VLOOKUP(A5,[4]shown_tract_poor_share2016!$A$2:$C$378,3,0)</f>
        <v>0.1002</v>
      </c>
      <c r="E5">
        <f>VLOOKUP(A5,[1]shown_tract_teenbirth_rP_gF_pal!$A$2:$C$378,3,0)</f>
        <v>0.29980000000000001</v>
      </c>
      <c r="F5">
        <f>VLOOKUP(A5,[2]shown_tract_married_rP_gF_pall!$A$2:$C$378,3,0)</f>
        <v>0.26319999999999999</v>
      </c>
      <c r="G5">
        <f>VLOOKUP(A5,[3]shown_tract_median_rent2016!$A$2:$C$378,3,0)</f>
        <v>1259</v>
      </c>
      <c r="H5">
        <f>VLOOKUP(A5,[5]shown_tract_singleparent_share2!$A$2:$C$378,3,0)</f>
        <v>0.42220000000000002</v>
      </c>
    </row>
    <row r="6" spans="1:8" x14ac:dyDescent="0.2">
      <c r="A6">
        <v>24510020200</v>
      </c>
      <c r="B6" t="s">
        <v>31</v>
      </c>
      <c r="C6">
        <v>31059</v>
      </c>
      <c r="D6">
        <f>VLOOKUP(A6,[4]shown_tract_poor_share2016!$A$2:$C$378,3,0)</f>
        <v>0.15179999999999999</v>
      </c>
      <c r="E6">
        <f>VLOOKUP(A6,[1]shown_tract_teenbirth_rP_gF_pal!$A$2:$C$378,3,0)</f>
        <v>0.3004</v>
      </c>
      <c r="F6">
        <f>VLOOKUP(A6,[2]shown_tract_married_rP_gF_pall!$A$2:$C$378,3,0)</f>
        <v>0.32740000000000002</v>
      </c>
      <c r="G6">
        <f>VLOOKUP(A6,[3]shown_tract_median_rent2016!$A$2:$C$378,3,0)</f>
        <v>1138</v>
      </c>
      <c r="H6">
        <f>VLOOKUP(A6,[5]shown_tract_singleparent_share2!$A$2:$C$378,3,0)</f>
        <v>0.47789999999999999</v>
      </c>
    </row>
    <row r="7" spans="1:8" x14ac:dyDescent="0.2">
      <c r="A7">
        <v>24510030100</v>
      </c>
      <c r="B7" t="s">
        <v>99</v>
      </c>
      <c r="C7">
        <v>19867</v>
      </c>
      <c r="D7">
        <f>VLOOKUP(A7,[4]shown_tract_poor_share2016!$A$2:$C$378,3,0)</f>
        <v>0.41899999999999998</v>
      </c>
      <c r="E7">
        <f>VLOOKUP(A7,[1]shown_tract_teenbirth_rP_gF_pal!$A$2:$C$378,3,0)</f>
        <v>0.57430000000000003</v>
      </c>
      <c r="F7">
        <f>VLOOKUP(A7,[2]shown_tract_married_rP_gF_pall!$A$2:$C$378,3,0)</f>
        <v>0.1399</v>
      </c>
      <c r="G7">
        <f>VLOOKUP(A7,[3]shown_tract_median_rent2016!$A$2:$C$378,3,0)</f>
        <v>428</v>
      </c>
      <c r="H7">
        <f>VLOOKUP(A7,[5]shown_tract_singleparent_share2!$A$2:$C$378,3,0)</f>
        <v>0.92120000000000002</v>
      </c>
    </row>
    <row r="8" spans="1:8" x14ac:dyDescent="0.2">
      <c r="A8">
        <v>24510030200</v>
      </c>
      <c r="B8" t="s">
        <v>50</v>
      </c>
      <c r="C8">
        <v>27607</v>
      </c>
      <c r="D8">
        <f>VLOOKUP(A8,[4]shown_tract_poor_share2016!$A$2:$C$378,3,0)</f>
        <v>0.21890000000000001</v>
      </c>
      <c r="E8">
        <f>VLOOKUP(A8,[1]shown_tract_teenbirth_rP_gF_pal!$A$2:$C$378,3,0)</f>
        <v>0.4733</v>
      </c>
      <c r="F8">
        <f>VLOOKUP(A8,[2]shown_tract_married_rP_gF_pall!$A$2:$C$378,3,0)</f>
        <v>0.1641</v>
      </c>
      <c r="G8">
        <f>VLOOKUP(A8,[3]shown_tract_median_rent2016!$A$2:$C$378,3,0)</f>
        <v>1850</v>
      </c>
      <c r="H8">
        <f>VLOOKUP(A8,[5]shown_tract_singleparent_share2!$A$2:$C$378,3,0)</f>
        <v>0.5635</v>
      </c>
    </row>
    <row r="9" spans="1:8" x14ac:dyDescent="0.2">
      <c r="A9">
        <v>24510040100</v>
      </c>
      <c r="B9" t="s">
        <v>32</v>
      </c>
      <c r="C9">
        <v>33047</v>
      </c>
      <c r="D9">
        <f>VLOOKUP(A9,[4]shown_tract_poor_share2016!$A$2:$C$378,3,0)</f>
        <v>0.26579999999999998</v>
      </c>
      <c r="E9">
        <f>VLOOKUP(A9,[1]shown_tract_teenbirth_rP_gF_pal!$A$2:$C$378,3,0)</f>
        <v>0.31440000000000001</v>
      </c>
      <c r="F9">
        <f>VLOOKUP(A9,[2]shown_tract_married_rP_gF_pall!$A$2:$C$378,3,0)</f>
        <v>0.26729999999999998</v>
      </c>
      <c r="G9">
        <f>VLOOKUP(A9,[3]shown_tract_median_rent2016!$A$2:$C$378,3,0)</f>
        <v>1445</v>
      </c>
      <c r="H9">
        <f>VLOOKUP(A9,[5]shown_tract_singleparent_share2!$A$2:$C$378,3,0)</f>
        <v>0</v>
      </c>
    </row>
    <row r="10" spans="1:8" x14ac:dyDescent="0.2">
      <c r="A10">
        <v>24510040200</v>
      </c>
      <c r="B10" t="s">
        <v>32</v>
      </c>
      <c r="C10">
        <v>21579</v>
      </c>
      <c r="D10">
        <f>VLOOKUP(A10,[4]shown_tract_poor_share2016!$A$2:$C$378,3,0)</f>
        <v>0.29599999999999999</v>
      </c>
      <c r="E10">
        <f>VLOOKUP(A10,[1]shown_tract_teenbirth_rP_gF_pal!$A$2:$C$378,3,0)</f>
        <v>0.4869</v>
      </c>
      <c r="F10">
        <f>VLOOKUP(A10,[2]shown_tract_married_rP_gF_pall!$A$2:$C$378,3,0)</f>
        <v>0.14729999999999999</v>
      </c>
      <c r="G10">
        <f>VLOOKUP(A10,[3]shown_tract_median_rent2016!$A$2:$C$378,3,0)</f>
        <v>1217</v>
      </c>
      <c r="H10">
        <f>VLOOKUP(A10,[5]shown_tract_singleparent_share2!$A$2:$C$378,3,0)</f>
        <v>0</v>
      </c>
    </row>
    <row r="11" spans="1:8" x14ac:dyDescent="0.2">
      <c r="A11">
        <v>24510060100</v>
      </c>
      <c r="B11" t="s">
        <v>39</v>
      </c>
      <c r="C11">
        <v>19473</v>
      </c>
      <c r="D11">
        <f>VLOOKUP(A11,[4]shown_tract_poor_share2016!$A$2:$C$378,3,0)</f>
        <v>0.32679999999999998</v>
      </c>
      <c r="E11">
        <f>VLOOKUP(A11,[1]shown_tract_teenbirth_rP_gF_pal!$A$2:$C$378,3,0)</f>
        <v>0.51639999999999997</v>
      </c>
      <c r="F11">
        <f>VLOOKUP(A11,[2]shown_tract_married_rP_gF_pall!$A$2:$C$378,3,0)</f>
        <v>0.13830000000000001</v>
      </c>
      <c r="G11">
        <f>VLOOKUP(A11,[3]shown_tract_median_rent2016!$A$2:$C$378,3,0)</f>
        <v>1218</v>
      </c>
      <c r="H11">
        <f>VLOOKUP(A11,[5]shown_tract_singleparent_share2!$A$2:$C$378,3,0)</f>
        <v>0.78680000000000005</v>
      </c>
    </row>
    <row r="12" spans="1:8" x14ac:dyDescent="0.2">
      <c r="A12">
        <v>24510060200</v>
      </c>
      <c r="B12" t="s">
        <v>9</v>
      </c>
      <c r="C12">
        <v>24081</v>
      </c>
      <c r="D12">
        <f>VLOOKUP(A12,[4]shown_tract_poor_share2016!$A$2:$C$378,3,0)</f>
        <v>0.23710000000000001</v>
      </c>
      <c r="E12">
        <f>VLOOKUP(A12,[1]shown_tract_teenbirth_rP_gF_pal!$A$2:$C$378,3,0)</f>
        <v>0.51239999999999997</v>
      </c>
      <c r="F12">
        <f>VLOOKUP(A12,[2]shown_tract_married_rP_gF_pall!$A$2:$C$378,3,0)</f>
        <v>0.1464</v>
      </c>
      <c r="G12">
        <f>VLOOKUP(A12,[3]shown_tract_median_rent2016!$A$2:$C$378,3,0)</f>
        <v>1371</v>
      </c>
      <c r="H12">
        <f>VLOOKUP(A12,[5]shown_tract_singleparent_share2!$A$2:$C$378,3,0)</f>
        <v>0.40839999999999999</v>
      </c>
    </row>
    <row r="13" spans="1:8" x14ac:dyDescent="0.2">
      <c r="A13">
        <v>24510060300</v>
      </c>
      <c r="B13" t="s">
        <v>91</v>
      </c>
      <c r="C13">
        <v>20803</v>
      </c>
      <c r="D13">
        <f>VLOOKUP(A13,[4]shown_tract_poor_share2016!$A$2:$C$378,3,0)</f>
        <v>0.22600000000000001</v>
      </c>
      <c r="E13">
        <f>VLOOKUP(A13,[1]shown_tract_teenbirth_rP_gF_pal!$A$2:$C$378,3,0)</f>
        <v>0.5857</v>
      </c>
      <c r="F13">
        <f>VLOOKUP(A13,[2]shown_tract_married_rP_gF_pall!$A$2:$C$378,3,0)</f>
        <v>0.14599999999999999</v>
      </c>
      <c r="G13">
        <f>VLOOKUP(A13,[3]shown_tract_median_rent2016!$A$2:$C$378,3,0)</f>
        <v>1419</v>
      </c>
      <c r="H13">
        <f>VLOOKUP(A13,[5]shown_tract_singleparent_share2!$A$2:$C$378,3,0)</f>
        <v>0.64229999999999998</v>
      </c>
    </row>
    <row r="14" spans="1:8" x14ac:dyDescent="0.2">
      <c r="A14">
        <v>24510060400</v>
      </c>
      <c r="B14" t="s">
        <v>9</v>
      </c>
      <c r="C14">
        <v>20617</v>
      </c>
      <c r="D14">
        <f>VLOOKUP(A14,[4]shown_tract_poor_share2016!$A$2:$C$378,3,0)</f>
        <v>0.22159999999999999</v>
      </c>
      <c r="E14">
        <f>VLOOKUP(A14,[1]shown_tract_teenbirth_rP_gF_pal!$A$2:$C$378,3,0)</f>
        <v>0.49109999999999998</v>
      </c>
      <c r="F14">
        <f>VLOOKUP(A14,[2]shown_tract_married_rP_gF_pall!$A$2:$C$378,3,0)</f>
        <v>6.7799999999999999E-2</v>
      </c>
      <c r="G14">
        <f>VLOOKUP(A14,[3]shown_tract_median_rent2016!$A$2:$C$378,3,0)</f>
        <v>760</v>
      </c>
      <c r="H14">
        <f>VLOOKUP(A14,[5]shown_tract_singleparent_share2!$A$2:$C$378,3,0)</f>
        <v>0.5</v>
      </c>
    </row>
    <row r="15" spans="1:8" x14ac:dyDescent="0.2">
      <c r="A15">
        <v>24510070100</v>
      </c>
      <c r="B15" t="s">
        <v>9</v>
      </c>
      <c r="C15">
        <v>23304</v>
      </c>
      <c r="D15">
        <f>VLOOKUP(A15,[4]shown_tract_poor_share2016!$A$2:$C$378,3,0)</f>
        <v>0.35880000000000001</v>
      </c>
      <c r="E15">
        <f>VLOOKUP(A15,[1]shown_tract_teenbirth_rP_gF_pal!$A$2:$C$378,3,0)</f>
        <v>0.4677</v>
      </c>
      <c r="F15">
        <f>VLOOKUP(A15,[2]shown_tract_married_rP_gF_pall!$A$2:$C$378,3,0)</f>
        <v>0.13370000000000001</v>
      </c>
      <c r="G15">
        <f>VLOOKUP(A15,[3]shown_tract_median_rent2016!$A$2:$C$378,3,0)</f>
        <v>1122</v>
      </c>
      <c r="H15">
        <f>VLOOKUP(A15,[5]shown_tract_singleparent_share2!$A$2:$C$378,3,0)</f>
        <v>0.84870000000000001</v>
      </c>
    </row>
    <row r="16" spans="1:8" x14ac:dyDescent="0.2">
      <c r="A16">
        <v>24510070200</v>
      </c>
      <c r="B16" t="s">
        <v>98</v>
      </c>
      <c r="C16">
        <v>19977</v>
      </c>
      <c r="D16">
        <f>VLOOKUP(A16,[4]shown_tract_poor_share2016!$A$2:$C$378,3,0)</f>
        <v>0.43669999999999998</v>
      </c>
      <c r="E16">
        <f>VLOOKUP(A16,[1]shown_tract_teenbirth_rP_gF_pal!$A$2:$C$378,3,0)</f>
        <v>0.55449999999999999</v>
      </c>
      <c r="F16">
        <f>VLOOKUP(A16,[2]shown_tract_married_rP_gF_pall!$A$2:$C$378,3,0)</f>
        <v>8.6999999999999994E-2</v>
      </c>
      <c r="G16">
        <f>VLOOKUP(A16,[3]shown_tract_median_rent2016!$A$2:$C$378,3,0)</f>
        <v>1041</v>
      </c>
      <c r="H16">
        <f>VLOOKUP(A16,[5]shown_tract_singleparent_share2!$A$2:$C$378,3,0)</f>
        <v>0.87849999999999995</v>
      </c>
    </row>
    <row r="17" spans="1:8" x14ac:dyDescent="0.2">
      <c r="A17">
        <v>24510070300</v>
      </c>
      <c r="B17" t="s">
        <v>114</v>
      </c>
      <c r="C17">
        <v>17213</v>
      </c>
      <c r="D17">
        <f>VLOOKUP(A17,[4]shown_tract_poor_share2016!$A$2:$C$378,3,0)</f>
        <v>0.53800000000000003</v>
      </c>
      <c r="E17">
        <f>VLOOKUP(A17,[1]shown_tract_teenbirth_rP_gF_pal!$A$2:$C$378,3,0)</f>
        <v>0.54910000000000003</v>
      </c>
      <c r="F17">
        <f>VLOOKUP(A17,[2]shown_tract_married_rP_gF_pall!$A$2:$C$378,3,0)</f>
        <v>6.2199999999999998E-2</v>
      </c>
      <c r="G17">
        <f>VLOOKUP(A17,[3]shown_tract_median_rent2016!$A$2:$C$378,3,0)</f>
        <v>830</v>
      </c>
      <c r="H17">
        <f>VLOOKUP(A17,[5]shown_tract_singleparent_share2!$A$2:$C$378,3,0)</f>
        <v>0.54079999999999995</v>
      </c>
    </row>
    <row r="18" spans="1:8" x14ac:dyDescent="0.2">
      <c r="A18">
        <v>24510070400</v>
      </c>
      <c r="B18" t="s">
        <v>104</v>
      </c>
      <c r="C18">
        <v>19477</v>
      </c>
      <c r="D18">
        <f>VLOOKUP(A18,[4]shown_tract_poor_share2016!$A$2:$C$378,3,0)</f>
        <v>0.4743</v>
      </c>
      <c r="E18">
        <f>VLOOKUP(A18,[1]shown_tract_teenbirth_rP_gF_pal!$A$2:$C$378,3,0)</f>
        <v>0.56440000000000001</v>
      </c>
      <c r="F18">
        <f>VLOOKUP(A18,[2]shown_tract_married_rP_gF_pall!$A$2:$C$378,3,0)</f>
        <v>8.8400000000000006E-2</v>
      </c>
      <c r="G18">
        <f>VLOOKUP(A18,[3]shown_tract_median_rent2016!$A$2:$C$378,3,0)</f>
        <v>894</v>
      </c>
      <c r="H18">
        <f>VLOOKUP(A18,[5]shown_tract_singleparent_share2!$A$2:$C$378,3,0)</f>
        <v>0.80620000000000003</v>
      </c>
    </row>
    <row r="19" spans="1:8" x14ac:dyDescent="0.2">
      <c r="A19">
        <v>24510080101</v>
      </c>
      <c r="B19" t="s">
        <v>36</v>
      </c>
      <c r="C19">
        <v>31912</v>
      </c>
      <c r="D19">
        <f>VLOOKUP(A19,[4]shown_tract_poor_share2016!$A$2:$C$378,3,0)</f>
        <v>0.1469</v>
      </c>
      <c r="E19">
        <f>VLOOKUP(A19,[1]shown_tract_teenbirth_rP_gF_pal!$A$2:$C$378,3,0)</f>
        <v>0.38290000000000002</v>
      </c>
      <c r="F19">
        <f>VLOOKUP(A19,[2]shown_tract_married_rP_gF_pall!$A$2:$C$378,3,0)</f>
        <v>0.22389999999999999</v>
      </c>
      <c r="G19">
        <f>VLOOKUP(A19,[3]shown_tract_median_rent2016!$A$2:$C$378,3,0)</f>
        <v>1173</v>
      </c>
      <c r="H19">
        <f>VLOOKUP(A19,[5]shown_tract_singleparent_share2!$A$2:$C$378,3,0)</f>
        <v>0.65100000000000002</v>
      </c>
    </row>
    <row r="20" spans="1:8" x14ac:dyDescent="0.2">
      <c r="A20">
        <v>24510080102</v>
      </c>
      <c r="B20" t="s">
        <v>36</v>
      </c>
      <c r="C20">
        <v>21607</v>
      </c>
      <c r="D20">
        <f>VLOOKUP(A20,[4]shown_tract_poor_share2016!$A$2:$C$378,3,0)</f>
        <v>0.27810000000000001</v>
      </c>
      <c r="E20">
        <f>VLOOKUP(A20,[1]shown_tract_teenbirth_rP_gF_pal!$A$2:$C$378,3,0)</f>
        <v>0.55479999999999996</v>
      </c>
      <c r="F20">
        <f>VLOOKUP(A20,[2]shown_tract_married_rP_gF_pall!$A$2:$C$378,3,0)</f>
        <v>7.8899999999999998E-2</v>
      </c>
      <c r="G20">
        <f>VLOOKUP(A20,[3]shown_tract_median_rent2016!$A$2:$C$378,3,0)</f>
        <v>1165</v>
      </c>
      <c r="H20">
        <f>VLOOKUP(A20,[5]shown_tract_singleparent_share2!$A$2:$C$378,3,0)</f>
        <v>0.71199999999999997</v>
      </c>
    </row>
    <row r="21" spans="1:8" x14ac:dyDescent="0.2">
      <c r="A21">
        <v>24510080200</v>
      </c>
      <c r="B21" t="s">
        <v>92</v>
      </c>
      <c r="C21">
        <v>19122</v>
      </c>
      <c r="D21">
        <f>VLOOKUP(A21,[4]shown_tract_poor_share2016!$A$2:$C$378,3,0)</f>
        <v>0.24329999999999999</v>
      </c>
      <c r="E21">
        <f>VLOOKUP(A21,[1]shown_tract_teenbirth_rP_gF_pal!$A$2:$C$378,3,0)</f>
        <v>0.60189999999999999</v>
      </c>
      <c r="F21">
        <f>VLOOKUP(A21,[2]shown_tract_married_rP_gF_pall!$A$2:$C$378,3,0)</f>
        <v>8.3199999999999996E-2</v>
      </c>
      <c r="G21">
        <f>VLOOKUP(A21,[3]shown_tract_median_rent2016!$A$2:$C$378,3,0)</f>
        <v>597</v>
      </c>
      <c r="H21">
        <f>VLOOKUP(A21,[5]shown_tract_singleparent_share2!$A$2:$C$378,3,0)</f>
        <v>0.60470000000000002</v>
      </c>
    </row>
    <row r="22" spans="1:8" x14ac:dyDescent="0.2">
      <c r="A22">
        <v>24510080301</v>
      </c>
      <c r="B22" t="s">
        <v>82</v>
      </c>
      <c r="C22">
        <v>19744</v>
      </c>
      <c r="D22">
        <f>VLOOKUP(A22,[4]shown_tract_poor_share2016!$A$2:$C$378,3,0)</f>
        <v>0.23039999999999999</v>
      </c>
      <c r="E22">
        <f>VLOOKUP(A22,[1]shown_tract_teenbirth_rP_gF_pal!$A$2:$C$378,3,0)</f>
        <v>0.5323</v>
      </c>
      <c r="F22">
        <f>VLOOKUP(A22,[2]shown_tract_married_rP_gF_pall!$A$2:$C$378,3,0)</f>
        <v>7.6399999999999996E-2</v>
      </c>
      <c r="G22">
        <f>VLOOKUP(A22,[3]shown_tract_median_rent2016!$A$2:$C$378,3,0)</f>
        <v>1099</v>
      </c>
      <c r="H22">
        <f>VLOOKUP(A22,[5]shown_tract_singleparent_share2!$A$2:$C$378,3,0)</f>
        <v>0.93279999999999996</v>
      </c>
    </row>
    <row r="23" spans="1:8" x14ac:dyDescent="0.2">
      <c r="A23">
        <v>24510080302</v>
      </c>
      <c r="B23" t="s">
        <v>82</v>
      </c>
      <c r="C23">
        <v>21714</v>
      </c>
      <c r="D23">
        <f>VLOOKUP(A23,[4]shown_tract_poor_share2016!$A$2:$C$378,3,0)</f>
        <v>0.32200000000000001</v>
      </c>
      <c r="E23">
        <f>VLOOKUP(A23,[1]shown_tract_teenbirth_rP_gF_pal!$A$2:$C$378,3,0)</f>
        <v>0.54790000000000005</v>
      </c>
      <c r="F23">
        <f>VLOOKUP(A23,[2]shown_tract_married_rP_gF_pall!$A$2:$C$378,3,0)</f>
        <v>8.3000000000000004E-2</v>
      </c>
      <c r="G23">
        <f>VLOOKUP(A23,[3]shown_tract_median_rent2016!$A$2:$C$378,3,0)</f>
        <v>834</v>
      </c>
      <c r="H23">
        <f>VLOOKUP(A23,[5]shown_tract_singleparent_share2!$A$2:$C$378,3,0)</f>
        <v>0.68640000000000001</v>
      </c>
    </row>
    <row r="24" spans="1:8" x14ac:dyDescent="0.2">
      <c r="A24">
        <v>24510080400</v>
      </c>
      <c r="B24" t="s">
        <v>92</v>
      </c>
      <c r="C24">
        <v>20089</v>
      </c>
      <c r="D24">
        <f>VLOOKUP(A24,[4]shown_tract_poor_share2016!$A$2:$C$378,3,0)</f>
        <v>0.51190000000000002</v>
      </c>
      <c r="E24">
        <f>VLOOKUP(A24,[1]shown_tract_teenbirth_rP_gF_pal!$A$2:$C$378,3,0)</f>
        <v>0.53949999999999998</v>
      </c>
      <c r="F24">
        <f>VLOOKUP(A24,[2]shown_tract_married_rP_gF_pall!$A$2:$C$378,3,0)</f>
        <v>7.2900000000000006E-2</v>
      </c>
      <c r="G24">
        <f>VLOOKUP(A24,[3]shown_tract_median_rent2016!$A$2:$C$378,3,0)</f>
        <v>755</v>
      </c>
      <c r="H24">
        <f>VLOOKUP(A24,[5]shown_tract_singleparent_share2!$A$2:$C$378,3,0)</f>
        <v>0.76529999999999998</v>
      </c>
    </row>
    <row r="25" spans="1:8" x14ac:dyDescent="0.2">
      <c r="A25">
        <v>24510080500</v>
      </c>
      <c r="B25" t="s">
        <v>71</v>
      </c>
      <c r="C25">
        <v>23070</v>
      </c>
      <c r="D25">
        <f>VLOOKUP(A25,[4]shown_tract_poor_share2016!$A$2:$C$378,3,0)</f>
        <v>0.3266</v>
      </c>
      <c r="E25">
        <f>VLOOKUP(A25,[1]shown_tract_teenbirth_rP_gF_pal!$A$2:$C$378,3,0)</f>
        <v>0.55479999999999996</v>
      </c>
      <c r="F25">
        <f>VLOOKUP(A25,[2]shown_tract_married_rP_gF_pall!$A$2:$C$378,3,0)</f>
        <v>0.13059999999999999</v>
      </c>
      <c r="G25">
        <f>VLOOKUP(A25,[3]shown_tract_median_rent2016!$A$2:$C$378,3,0)</f>
        <v>1090</v>
      </c>
      <c r="H25">
        <f>VLOOKUP(A25,[5]shown_tract_singleparent_share2!$A$2:$C$378,3,0)</f>
        <v>0.84140000000000004</v>
      </c>
    </row>
    <row r="26" spans="1:8" x14ac:dyDescent="0.2">
      <c r="A26">
        <v>24510080600</v>
      </c>
      <c r="B26" t="s">
        <v>92</v>
      </c>
      <c r="C26">
        <v>20471</v>
      </c>
      <c r="D26">
        <f>VLOOKUP(A26,[4]shown_tract_poor_share2016!$A$2:$C$378,3,0)</f>
        <v>0.28620000000000001</v>
      </c>
      <c r="E26">
        <f>VLOOKUP(A26,[1]shown_tract_teenbirth_rP_gF_pal!$A$2:$C$378,3,0)</f>
        <v>0.57669999999999999</v>
      </c>
      <c r="F26">
        <f>VLOOKUP(A26,[2]shown_tract_married_rP_gF_pall!$A$2:$C$378,3,0)</f>
        <v>5.62E-2</v>
      </c>
      <c r="G26">
        <f>VLOOKUP(A26,[3]shown_tract_median_rent2016!$A$2:$C$378,3,0)</f>
        <v>1029</v>
      </c>
      <c r="H26">
        <f>VLOOKUP(A26,[5]shown_tract_singleparent_share2!$A$2:$C$378,3,0)</f>
        <v>0.9385</v>
      </c>
    </row>
    <row r="27" spans="1:8" x14ac:dyDescent="0.2">
      <c r="A27">
        <v>24510080700</v>
      </c>
      <c r="B27" t="s">
        <v>92</v>
      </c>
      <c r="C27">
        <v>19370</v>
      </c>
      <c r="D27">
        <f>VLOOKUP(A27,[4]shown_tract_poor_share2016!$A$2:$C$378,3,0)</f>
        <v>0.2873</v>
      </c>
      <c r="E27">
        <f>VLOOKUP(A27,[1]shown_tract_teenbirth_rP_gF_pal!$A$2:$C$378,3,0)</f>
        <v>0.56299999999999994</v>
      </c>
      <c r="F27">
        <f>VLOOKUP(A27,[2]shown_tract_married_rP_gF_pall!$A$2:$C$378,3,0)</f>
        <v>8.3599999999999994E-2</v>
      </c>
      <c r="G27">
        <f>VLOOKUP(A27,[3]shown_tract_median_rent2016!$A$2:$C$378,3,0)</f>
        <v>1038</v>
      </c>
      <c r="H27">
        <f>VLOOKUP(A27,[5]shown_tract_singleparent_share2!$A$2:$C$378,3,0)</f>
        <v>1</v>
      </c>
    </row>
    <row r="28" spans="1:8" x14ac:dyDescent="0.2">
      <c r="A28">
        <v>24510080800</v>
      </c>
      <c r="B28" t="s">
        <v>92</v>
      </c>
      <c r="C28">
        <v>17386</v>
      </c>
      <c r="D28">
        <f>VLOOKUP(A28,[4]shown_tract_poor_share2016!$A$2:$C$378,3,0)</f>
        <v>0.49280000000000002</v>
      </c>
      <c r="E28">
        <f>VLOOKUP(A28,[1]shown_tract_teenbirth_rP_gF_pal!$A$2:$C$378,3,0)</f>
        <v>0.58779999999999999</v>
      </c>
      <c r="F28">
        <f>VLOOKUP(A28,[2]shown_tract_married_rP_gF_pall!$A$2:$C$378,3,0)</f>
        <v>6.6900000000000001E-2</v>
      </c>
      <c r="G28">
        <f>VLOOKUP(A28,[3]shown_tract_median_rent2016!$A$2:$C$378,3,0)</f>
        <v>906</v>
      </c>
      <c r="H28">
        <f>VLOOKUP(A28,[5]shown_tract_singleparent_share2!$A$2:$C$378,3,0)</f>
        <v>0.97009999999999996</v>
      </c>
    </row>
    <row r="29" spans="1:8" x14ac:dyDescent="0.2">
      <c r="A29">
        <v>24510090100</v>
      </c>
      <c r="B29" t="s">
        <v>37</v>
      </c>
      <c r="C29">
        <v>24827</v>
      </c>
      <c r="D29">
        <f>VLOOKUP(A29,[4]shown_tract_poor_share2016!$A$2:$C$378,3,0)</f>
        <v>0.2059</v>
      </c>
      <c r="E29">
        <f>VLOOKUP(A29,[1]shown_tract_teenbirth_rP_gF_pal!$A$2:$C$378,3,0)</f>
        <v>0.45689999999999997</v>
      </c>
      <c r="F29">
        <f>VLOOKUP(A29,[2]shown_tract_married_rP_gF_pall!$A$2:$C$378,3,0)</f>
        <v>0.11990000000000001</v>
      </c>
      <c r="G29">
        <f>VLOOKUP(A29,[3]shown_tract_median_rent2016!$A$2:$C$378,3,0)</f>
        <v>897</v>
      </c>
      <c r="H29">
        <f>VLOOKUP(A29,[5]shown_tract_singleparent_share2!$A$2:$C$378,3,0)</f>
        <v>0.4728</v>
      </c>
    </row>
    <row r="30" spans="1:8" x14ac:dyDescent="0.2">
      <c r="A30">
        <v>24510090200</v>
      </c>
      <c r="B30" t="s">
        <v>37</v>
      </c>
      <c r="C30">
        <v>31759</v>
      </c>
      <c r="D30">
        <f>VLOOKUP(A30,[4]shown_tract_poor_share2016!$A$2:$C$378,3,0)</f>
        <v>0.1113</v>
      </c>
      <c r="E30">
        <f>VLOOKUP(A30,[1]shown_tract_teenbirth_rP_gF_pal!$A$2:$C$378,3,0)</f>
        <v>0.3901</v>
      </c>
      <c r="F30">
        <f>VLOOKUP(A30,[2]shown_tract_married_rP_gF_pall!$A$2:$C$378,3,0)</f>
        <v>0.1454</v>
      </c>
      <c r="G30">
        <f>VLOOKUP(A30,[3]shown_tract_median_rent2016!$A$2:$C$378,3,0)</f>
        <v>1111</v>
      </c>
      <c r="H30">
        <f>VLOOKUP(A30,[5]shown_tract_singleparent_share2!$A$2:$C$378,3,0)</f>
        <v>0.44529999999999997</v>
      </c>
    </row>
    <row r="31" spans="1:8" x14ac:dyDescent="0.2">
      <c r="A31">
        <v>24510090300</v>
      </c>
      <c r="B31" t="s">
        <v>37</v>
      </c>
      <c r="C31">
        <v>28147</v>
      </c>
      <c r="D31">
        <f>VLOOKUP(A31,[4]shown_tract_poor_share2016!$A$2:$C$378,3,0)</f>
        <v>0.23849999999999999</v>
      </c>
      <c r="E31">
        <f>VLOOKUP(A31,[1]shown_tract_teenbirth_rP_gF_pal!$A$2:$C$378,3,0)</f>
        <v>0.36099999999999999</v>
      </c>
      <c r="F31">
        <f>VLOOKUP(A31,[2]shown_tract_married_rP_gF_pall!$A$2:$C$378,3,0)</f>
        <v>0.17660000000000001</v>
      </c>
      <c r="G31">
        <f>VLOOKUP(A31,[3]shown_tract_median_rent2016!$A$2:$C$378,3,0)</f>
        <v>769</v>
      </c>
      <c r="H31">
        <f>VLOOKUP(A31,[5]shown_tract_singleparent_share2!$A$2:$C$378,3,0)</f>
        <v>0.29930000000000001</v>
      </c>
    </row>
    <row r="32" spans="1:8" x14ac:dyDescent="0.2">
      <c r="A32">
        <v>24510090400</v>
      </c>
      <c r="B32" t="s">
        <v>63</v>
      </c>
      <c r="C32">
        <v>23006</v>
      </c>
      <c r="D32">
        <f>VLOOKUP(A32,[4]shown_tract_poor_share2016!$A$2:$C$378,3,0)</f>
        <v>0.30480000000000002</v>
      </c>
      <c r="E32">
        <f>VLOOKUP(A32,[1]shown_tract_teenbirth_rP_gF_pal!$A$2:$C$378,3,0)</f>
        <v>0.55549999999999999</v>
      </c>
      <c r="F32">
        <f>VLOOKUP(A32,[2]shown_tract_married_rP_gF_pall!$A$2:$C$378,3,0)</f>
        <v>0.1055</v>
      </c>
      <c r="G32">
        <f>VLOOKUP(A32,[3]shown_tract_median_rent2016!$A$2:$C$378,3,0)</f>
        <v>896</v>
      </c>
      <c r="H32">
        <f>VLOOKUP(A32,[5]shown_tract_singleparent_share2!$A$2:$C$378,3,0)</f>
        <v>0.78790000000000004</v>
      </c>
    </row>
    <row r="33" spans="1:8" x14ac:dyDescent="0.2">
      <c r="A33">
        <v>24510090500</v>
      </c>
      <c r="B33" t="s">
        <v>63</v>
      </c>
      <c r="C33">
        <v>24301</v>
      </c>
      <c r="D33">
        <f>VLOOKUP(A33,[4]shown_tract_poor_share2016!$A$2:$C$378,3,0)</f>
        <v>0.16020000000000001</v>
      </c>
      <c r="E33">
        <f>VLOOKUP(A33,[1]shown_tract_teenbirth_rP_gF_pal!$A$2:$C$378,3,0)</f>
        <v>0.50049999999999994</v>
      </c>
      <c r="F33">
        <f>VLOOKUP(A33,[2]shown_tract_married_rP_gF_pall!$A$2:$C$378,3,0)</f>
        <v>0.1502</v>
      </c>
      <c r="G33">
        <f>VLOOKUP(A33,[3]shown_tract_median_rent2016!$A$2:$C$378,3,0)</f>
        <v>1110</v>
      </c>
      <c r="H33">
        <f>VLOOKUP(A33,[5]shown_tract_singleparent_share2!$A$2:$C$378,3,0)</f>
        <v>0.63590000000000002</v>
      </c>
    </row>
    <row r="34" spans="1:8" x14ac:dyDescent="0.2">
      <c r="A34">
        <v>24510090600</v>
      </c>
      <c r="B34" t="s">
        <v>81</v>
      </c>
      <c r="C34">
        <v>21017</v>
      </c>
      <c r="D34">
        <f>VLOOKUP(A34,[4]shown_tract_poor_share2016!$A$2:$C$378,3,0)</f>
        <v>0.17219999999999999</v>
      </c>
      <c r="E34">
        <f>VLOOKUP(A34,[1]shown_tract_teenbirth_rP_gF_pal!$A$2:$C$378,3,0)</f>
        <v>0.47820000000000001</v>
      </c>
      <c r="F34">
        <f>VLOOKUP(A34,[2]shown_tract_married_rP_gF_pall!$A$2:$C$378,3,0)</f>
        <v>8.9200000000000002E-2</v>
      </c>
      <c r="G34">
        <f>VLOOKUP(A34,[3]shown_tract_median_rent2016!$A$2:$C$378,3,0)</f>
        <v>1268</v>
      </c>
      <c r="H34">
        <f>VLOOKUP(A34,[5]shown_tract_singleparent_share2!$A$2:$C$378,3,0)</f>
        <v>0.85140000000000005</v>
      </c>
    </row>
    <row r="35" spans="1:8" x14ac:dyDescent="0.2">
      <c r="A35">
        <v>24510090700</v>
      </c>
      <c r="B35" t="s">
        <v>81</v>
      </c>
      <c r="C35">
        <v>21938</v>
      </c>
      <c r="D35">
        <f>VLOOKUP(A35,[4]shown_tract_poor_share2016!$A$2:$C$378,3,0)</f>
        <v>0.31290000000000001</v>
      </c>
      <c r="E35">
        <f>VLOOKUP(A35,[1]shown_tract_teenbirth_rP_gF_pal!$A$2:$C$378,3,0)</f>
        <v>0.57530000000000003</v>
      </c>
      <c r="F35">
        <f>VLOOKUP(A35,[2]shown_tract_married_rP_gF_pall!$A$2:$C$378,3,0)</f>
        <v>9.2899999999999996E-2</v>
      </c>
      <c r="G35">
        <f>VLOOKUP(A35,[3]shown_tract_median_rent2016!$A$2:$C$378,3,0)</f>
        <v>982</v>
      </c>
      <c r="H35">
        <f>VLOOKUP(A35,[5]shown_tract_singleparent_share2!$A$2:$C$378,3,0)</f>
        <v>0.97789999999999999</v>
      </c>
    </row>
    <row r="36" spans="1:8" x14ac:dyDescent="0.2">
      <c r="A36">
        <v>24510090800</v>
      </c>
      <c r="B36" t="s">
        <v>102</v>
      </c>
      <c r="C36">
        <v>19724</v>
      </c>
      <c r="D36">
        <f>VLOOKUP(A36,[4]shown_tract_poor_share2016!$A$2:$C$378,3,0)</f>
        <v>0.3669</v>
      </c>
      <c r="E36">
        <f>VLOOKUP(A36,[1]shown_tract_teenbirth_rP_gF_pal!$A$2:$C$378,3,0)</f>
        <v>0.55169999999999997</v>
      </c>
      <c r="F36">
        <f>VLOOKUP(A36,[2]shown_tract_married_rP_gF_pall!$A$2:$C$378,3,0)</f>
        <v>8.48E-2</v>
      </c>
      <c r="G36">
        <f>VLOOKUP(A36,[3]shown_tract_median_rent2016!$A$2:$C$378,3,0)</f>
        <v>1132</v>
      </c>
      <c r="H36">
        <f>VLOOKUP(A36,[5]shown_tract_singleparent_share2!$A$2:$C$378,3,0)</f>
        <v>0.95630000000000004</v>
      </c>
    </row>
    <row r="37" spans="1:8" x14ac:dyDescent="0.2">
      <c r="A37">
        <v>24510090900</v>
      </c>
      <c r="B37" t="s">
        <v>106</v>
      </c>
      <c r="C37">
        <v>19381</v>
      </c>
      <c r="D37">
        <f>VLOOKUP(A37,[4]shown_tract_poor_share2016!$A$2:$C$378,3,0)</f>
        <v>0.25890000000000002</v>
      </c>
      <c r="E37">
        <f>VLOOKUP(A37,[1]shown_tract_teenbirth_rP_gF_pal!$A$2:$C$378,3,0)</f>
        <v>0.59709999999999996</v>
      </c>
      <c r="F37">
        <f>VLOOKUP(A37,[2]shown_tract_married_rP_gF_pall!$A$2:$C$378,3,0)</f>
        <v>7.5399999999999995E-2</v>
      </c>
      <c r="G37">
        <f>VLOOKUP(A37,[3]shown_tract_median_rent2016!$A$2:$C$378,3,0)</f>
        <v>728</v>
      </c>
      <c r="H37">
        <f>VLOOKUP(A37,[5]shown_tract_singleparent_share2!$A$2:$C$378,3,0)</f>
        <v>1</v>
      </c>
    </row>
    <row r="38" spans="1:8" x14ac:dyDescent="0.2">
      <c r="A38">
        <v>24510100100</v>
      </c>
      <c r="B38" t="s">
        <v>113</v>
      </c>
      <c r="C38">
        <v>17650</v>
      </c>
      <c r="D38">
        <f>VLOOKUP(A38,[4]shown_tract_poor_share2016!$A$2:$C$378,3,0)</f>
        <v>0.42649999999999999</v>
      </c>
      <c r="E38">
        <f>VLOOKUP(A38,[1]shown_tract_teenbirth_rP_gF_pal!$A$2:$C$378,3,0)</f>
        <v>0.54400000000000004</v>
      </c>
      <c r="F38">
        <f>VLOOKUP(A38,[2]shown_tract_married_rP_gF_pall!$A$2:$C$378,3,0)</f>
        <v>2.9100000000000001E-2</v>
      </c>
      <c r="G38">
        <f>VLOOKUP(A38,[3]shown_tract_median_rent2016!$A$2:$C$378,3,0)</f>
        <v>389</v>
      </c>
      <c r="H38">
        <f>VLOOKUP(A38,[5]shown_tract_singleparent_share2!$A$2:$C$378,3,0)</f>
        <v>0.71899999999999997</v>
      </c>
    </row>
    <row r="39" spans="1:8" x14ac:dyDescent="0.2">
      <c r="A39">
        <v>24510100200</v>
      </c>
      <c r="B39" t="s">
        <v>9</v>
      </c>
      <c r="C39">
        <v>18919</v>
      </c>
      <c r="D39">
        <f>VLOOKUP(A39,[4]shown_tract_poor_share2016!$A$2:$C$378,3,0)</f>
        <v>0.43140000000000001</v>
      </c>
      <c r="E39">
        <f>VLOOKUP(A39,[1]shown_tract_teenbirth_rP_gF_pal!$A$2:$C$378,3,0)</f>
        <v>0.62790000000000001</v>
      </c>
      <c r="F39">
        <f>VLOOKUP(A39,[2]shown_tract_married_rP_gF_pall!$A$2:$C$378,3,0)</f>
        <v>8.2799999999999999E-2</v>
      </c>
      <c r="G39">
        <f>VLOOKUP(A39,[3]shown_tract_median_rent2016!$A$2:$C$378,3,0)</f>
        <v>417</v>
      </c>
      <c r="H39">
        <f>VLOOKUP(A39,[5]shown_tract_singleparent_share2!$A$2:$C$378,3,0)</f>
        <v>0.97760000000000002</v>
      </c>
    </row>
    <row r="40" spans="1:8" x14ac:dyDescent="0.2">
      <c r="A40">
        <v>24510110100</v>
      </c>
      <c r="B40" t="s">
        <v>32</v>
      </c>
      <c r="C40">
        <v>23998</v>
      </c>
      <c r="D40">
        <f>VLOOKUP(A40,[4]shown_tract_poor_share2016!$A$2:$C$378,3,0)</f>
        <v>0.2155</v>
      </c>
      <c r="E40">
        <f>VLOOKUP(A40,[1]shown_tract_teenbirth_rP_gF_pal!$A$2:$C$378,3,0)</f>
        <v>0.34870000000000001</v>
      </c>
      <c r="F40">
        <f>VLOOKUP(A40,[2]shown_tract_married_rP_gF_pall!$A$2:$C$378,3,0)</f>
        <v>0.1242</v>
      </c>
      <c r="G40">
        <f>VLOOKUP(A40,[3]shown_tract_median_rent2016!$A$2:$C$378,3,0)</f>
        <v>1125</v>
      </c>
      <c r="H40">
        <f>VLOOKUP(A40,[5]shown_tract_singleparent_share2!$A$2:$C$378,3,0)</f>
        <v>1</v>
      </c>
    </row>
    <row r="41" spans="1:8" x14ac:dyDescent="0.2">
      <c r="A41">
        <v>24510110200</v>
      </c>
      <c r="B41" t="s">
        <v>32</v>
      </c>
      <c r="C41">
        <v>23225</v>
      </c>
      <c r="D41">
        <f>VLOOKUP(A41,[4]shown_tract_poor_share2016!$A$2:$C$378,3,0)</f>
        <v>0.19209999999999999</v>
      </c>
      <c r="E41">
        <f>VLOOKUP(A41,[1]shown_tract_teenbirth_rP_gF_pal!$A$2:$C$378,3,0)</f>
        <v>0.45379999999999998</v>
      </c>
      <c r="F41">
        <f>VLOOKUP(A41,[2]shown_tract_married_rP_gF_pall!$A$2:$C$378,3,0)</f>
        <v>0.18340000000000001</v>
      </c>
      <c r="G41">
        <f>VLOOKUP(A41,[3]shown_tract_median_rent2016!$A$2:$C$378,3,0)</f>
        <v>1045</v>
      </c>
      <c r="H41">
        <f>VLOOKUP(A41,[5]shown_tract_singleparent_share2!$A$2:$C$378,3,0)</f>
        <v>0</v>
      </c>
    </row>
    <row r="42" spans="1:8" x14ac:dyDescent="0.2">
      <c r="A42">
        <v>24510120100</v>
      </c>
      <c r="B42" t="s">
        <v>7</v>
      </c>
      <c r="C42">
        <v>60859</v>
      </c>
      <c r="D42">
        <f>VLOOKUP(A42,[4]shown_tract_poor_share2016!$A$2:$C$378,3,0)</f>
        <v>0.1774</v>
      </c>
      <c r="E42">
        <f>VLOOKUP(A42,[1]shown_tract_teenbirth_rP_gF_pal!$A$2:$C$378,3,0)</f>
        <v>1.66E-2</v>
      </c>
      <c r="F42">
        <f>VLOOKUP(A42,[2]shown_tract_married_rP_gF_pall!$A$2:$C$378,3,0)</f>
        <v>0.47020000000000001</v>
      </c>
      <c r="G42">
        <f>VLOOKUP(A42,[3]shown_tract_median_rent2016!$A$2:$C$378,3,0)</f>
        <v>1201</v>
      </c>
      <c r="H42">
        <f>VLOOKUP(A42,[5]shown_tract_singleparent_share2!$A$2:$C$378,3,0)</f>
        <v>0.2772</v>
      </c>
    </row>
    <row r="43" spans="1:8" x14ac:dyDescent="0.2">
      <c r="A43">
        <v>24510120201</v>
      </c>
      <c r="B43" t="s">
        <v>9</v>
      </c>
      <c r="C43">
        <v>38508</v>
      </c>
      <c r="D43">
        <f>VLOOKUP(A43,[4]shown_tract_poor_share2016!$A$2:$C$378,3,0)</f>
        <v>0.21479999999999999</v>
      </c>
      <c r="E43">
        <f>VLOOKUP(A43,[1]shown_tract_teenbirth_rP_gF_pal!$A$2:$C$378,3,0)</f>
        <v>0.29570000000000002</v>
      </c>
      <c r="F43">
        <f>VLOOKUP(A43,[2]shown_tract_married_rP_gF_pall!$A$2:$C$378,3,0)</f>
        <v>0.45190000000000002</v>
      </c>
      <c r="G43">
        <f>VLOOKUP(A43,[3]shown_tract_median_rent2016!$A$2:$C$378,3,0)</f>
        <v>1147</v>
      </c>
      <c r="H43">
        <f>VLOOKUP(A43,[5]shown_tract_singleparent_share2!$A$2:$C$378,3,0)</f>
        <v>0.18459999999999999</v>
      </c>
    </row>
    <row r="44" spans="1:8" x14ac:dyDescent="0.2">
      <c r="A44">
        <v>24510120202</v>
      </c>
      <c r="B44" t="s">
        <v>9</v>
      </c>
      <c r="C44">
        <v>53304</v>
      </c>
      <c r="D44">
        <f>VLOOKUP(A44,[4]shown_tract_poor_share2016!$A$2:$C$378,3,0)</f>
        <v>0.36020000000000002</v>
      </c>
      <c r="E44">
        <f>VLOOKUP(A44,[1]shown_tract_teenbirth_rP_gF_pal!$A$2:$C$378,3,0)</f>
        <v>8.8099999999999998E-2</v>
      </c>
      <c r="F44">
        <f>VLOOKUP(A44,[2]shown_tract_married_rP_gF_pall!$A$2:$C$378,3,0)</f>
        <v>0.47349999999999998</v>
      </c>
      <c r="G44">
        <f>VLOOKUP(A44,[3]shown_tract_median_rent2016!$A$2:$C$378,3,0)</f>
        <v>961</v>
      </c>
      <c r="H44">
        <f>VLOOKUP(A44,[5]shown_tract_singleparent_share2!$A$2:$C$378,3,0)</f>
        <v>0</v>
      </c>
    </row>
    <row r="45" spans="1:8" x14ac:dyDescent="0.2">
      <c r="A45">
        <v>24510120300</v>
      </c>
      <c r="B45" t="s">
        <v>77</v>
      </c>
      <c r="C45">
        <v>22463</v>
      </c>
      <c r="D45">
        <f>VLOOKUP(A45,[4]shown_tract_poor_share2016!$A$2:$C$378,3,0)</f>
        <v>0.2949</v>
      </c>
      <c r="E45">
        <f>VLOOKUP(A45,[1]shown_tract_teenbirth_rP_gF_pal!$A$2:$C$378,3,0)</f>
        <v>0.53239999999999998</v>
      </c>
      <c r="F45">
        <f>VLOOKUP(A45,[2]shown_tract_married_rP_gF_pall!$A$2:$C$378,3,0)</f>
        <v>9.7799999999999998E-2</v>
      </c>
      <c r="G45">
        <f>VLOOKUP(A45,[3]shown_tract_median_rent2016!$A$2:$C$378,3,0)</f>
        <v>1085</v>
      </c>
      <c r="H45">
        <f>VLOOKUP(A45,[5]shown_tract_singleparent_share2!$A$2:$C$378,3,0)</f>
        <v>0.60070000000000001</v>
      </c>
    </row>
    <row r="46" spans="1:8" x14ac:dyDescent="0.2">
      <c r="A46">
        <v>24510120400</v>
      </c>
      <c r="B46" t="s">
        <v>89</v>
      </c>
      <c r="C46">
        <v>21057</v>
      </c>
      <c r="D46">
        <f>VLOOKUP(A46,[4]shown_tract_poor_share2016!$A$2:$C$378,3,0)</f>
        <v>0.42670000000000002</v>
      </c>
      <c r="E46">
        <f>VLOOKUP(A46,[1]shown_tract_teenbirth_rP_gF_pal!$A$2:$C$378,3,0)</f>
        <v>0.62729999999999997</v>
      </c>
      <c r="F46">
        <f>VLOOKUP(A46,[2]shown_tract_married_rP_gF_pall!$A$2:$C$378,3,0)</f>
        <v>7.2300000000000003E-2</v>
      </c>
      <c r="G46">
        <f>VLOOKUP(A46,[3]shown_tract_median_rent2016!$A$2:$C$378,3,0)</f>
        <v>1020</v>
      </c>
      <c r="H46">
        <f>VLOOKUP(A46,[5]shown_tract_singleparent_share2!$A$2:$C$378,3,0)</f>
        <v>0.74419999999999997</v>
      </c>
    </row>
    <row r="47" spans="1:8" x14ac:dyDescent="0.2">
      <c r="A47">
        <v>24510120500</v>
      </c>
      <c r="B47" t="s">
        <v>88</v>
      </c>
      <c r="C47">
        <v>21169</v>
      </c>
      <c r="D47">
        <f>VLOOKUP(A47,[4]shown_tract_poor_share2016!$A$2:$C$378,3,0)</f>
        <v>0.29530000000000001</v>
      </c>
      <c r="E47">
        <f>VLOOKUP(A47,[1]shown_tract_teenbirth_rP_gF_pal!$A$2:$C$378,3,0)</f>
        <v>0.54959999999999998</v>
      </c>
      <c r="F47">
        <f>VLOOKUP(A47,[2]shown_tract_married_rP_gF_pall!$A$2:$C$378,3,0)</f>
        <v>0.127</v>
      </c>
      <c r="G47">
        <f>VLOOKUP(A47,[3]shown_tract_median_rent2016!$A$2:$C$378,3,0)</f>
        <v>908</v>
      </c>
      <c r="H47">
        <f>VLOOKUP(A47,[5]shown_tract_singleparent_share2!$A$2:$C$378,3,0)</f>
        <v>0.7571</v>
      </c>
    </row>
    <row r="48" spans="1:8" x14ac:dyDescent="0.2">
      <c r="A48">
        <v>24510120600</v>
      </c>
      <c r="B48" t="s">
        <v>69</v>
      </c>
      <c r="C48">
        <v>23281</v>
      </c>
      <c r="D48">
        <f>VLOOKUP(A48,[4]shown_tract_poor_share2016!$A$2:$C$378,3,0)</f>
        <v>0.43930000000000002</v>
      </c>
      <c r="E48">
        <f>VLOOKUP(A48,[1]shown_tract_teenbirth_rP_gF_pal!$A$2:$C$378,3,0)</f>
        <v>0.51729999999999998</v>
      </c>
      <c r="F48">
        <f>VLOOKUP(A48,[2]shown_tract_married_rP_gF_pall!$A$2:$C$378,3,0)</f>
        <v>0.1467</v>
      </c>
      <c r="G48">
        <f>VLOOKUP(A48,[3]shown_tract_median_rent2016!$A$2:$C$378,3,0)</f>
        <v>712</v>
      </c>
      <c r="H48">
        <f>VLOOKUP(A48,[5]shown_tract_singleparent_share2!$A$2:$C$378,3,0)</f>
        <v>0.91300000000000003</v>
      </c>
    </row>
    <row r="49" spans="1:8" x14ac:dyDescent="0.2">
      <c r="A49">
        <v>24510120700</v>
      </c>
      <c r="B49" t="s">
        <v>58</v>
      </c>
      <c r="C49">
        <v>25123</v>
      </c>
      <c r="D49">
        <f>VLOOKUP(A49,[4]shown_tract_poor_share2016!$A$2:$C$378,3,0)</f>
        <v>0.1734</v>
      </c>
      <c r="E49">
        <f>VLOOKUP(A49,[1]shown_tract_teenbirth_rP_gF_pal!$A$2:$C$378,3,0)</f>
        <v>0.41930000000000001</v>
      </c>
      <c r="F49">
        <f>VLOOKUP(A49,[2]shown_tract_married_rP_gF_pall!$A$2:$C$378,3,0)</f>
        <v>0.25819999999999999</v>
      </c>
      <c r="G49">
        <f>VLOOKUP(A49,[3]shown_tract_median_rent2016!$A$2:$C$378,3,0)</f>
        <v>1103</v>
      </c>
      <c r="H49">
        <f>VLOOKUP(A49,[5]shown_tract_singleparent_share2!$A$2:$C$378,3,0)</f>
        <v>0.32319999999999999</v>
      </c>
    </row>
    <row r="50" spans="1:8" x14ac:dyDescent="0.2">
      <c r="A50">
        <v>24510130100</v>
      </c>
      <c r="B50" t="s">
        <v>86</v>
      </c>
      <c r="C50">
        <v>17306</v>
      </c>
      <c r="D50">
        <f>VLOOKUP(A50,[4]shown_tract_poor_share2016!$A$2:$C$378,3,0)</f>
        <v>0.33660000000000001</v>
      </c>
      <c r="E50">
        <f>VLOOKUP(A50,[1]shown_tract_teenbirth_rP_gF_pal!$A$2:$C$378,3,0)</f>
        <v>0.502</v>
      </c>
      <c r="F50">
        <f>VLOOKUP(A50,[2]shown_tract_married_rP_gF_pall!$A$2:$C$378,3,0)</f>
        <v>0.12640000000000001</v>
      </c>
      <c r="G50">
        <f>VLOOKUP(A50,[3]shown_tract_median_rent2016!$A$2:$C$378,3,0)</f>
        <v>801</v>
      </c>
      <c r="H50">
        <f>VLOOKUP(A50,[5]shown_tract_singleparent_share2!$A$2:$C$378,3,0)</f>
        <v>0.71289999999999998</v>
      </c>
    </row>
    <row r="51" spans="1:8" x14ac:dyDescent="0.2">
      <c r="A51">
        <v>24510130200</v>
      </c>
      <c r="B51" t="s">
        <v>86</v>
      </c>
      <c r="C51">
        <v>21377</v>
      </c>
      <c r="D51">
        <f>VLOOKUP(A51,[4]shown_tract_poor_share2016!$A$2:$C$378,3,0)</f>
        <v>0.34899999999999998</v>
      </c>
      <c r="E51">
        <f>VLOOKUP(A51,[1]shown_tract_teenbirth_rP_gF_pal!$A$2:$C$378,3,0)</f>
        <v>0.48559999999999998</v>
      </c>
      <c r="F51">
        <f>VLOOKUP(A51,[2]shown_tract_married_rP_gF_pall!$A$2:$C$378,3,0)</f>
        <v>0.1211</v>
      </c>
      <c r="G51">
        <f>VLOOKUP(A51,[3]shown_tract_median_rent2016!$A$2:$C$378,3,0)</f>
        <v>959</v>
      </c>
      <c r="H51">
        <f>VLOOKUP(A51,[5]shown_tract_singleparent_share2!$A$2:$C$378,3,0)</f>
        <v>0.85709999999999997</v>
      </c>
    </row>
    <row r="52" spans="1:8" x14ac:dyDescent="0.2">
      <c r="A52">
        <v>24510130300</v>
      </c>
      <c r="B52" t="s">
        <v>93</v>
      </c>
      <c r="C52">
        <v>20316</v>
      </c>
      <c r="D52">
        <f>VLOOKUP(A52,[4]shown_tract_poor_share2016!$A$2:$C$378,3,0)</f>
        <v>0.33100000000000002</v>
      </c>
      <c r="E52">
        <f>VLOOKUP(A52,[1]shown_tract_teenbirth_rP_gF_pal!$A$2:$C$378,3,0)</f>
        <v>0.55400000000000005</v>
      </c>
      <c r="F52">
        <f>VLOOKUP(A52,[2]shown_tract_married_rP_gF_pall!$A$2:$C$378,3,0)</f>
        <v>6.9800000000000001E-2</v>
      </c>
      <c r="G52">
        <f>VLOOKUP(A52,[3]shown_tract_median_rent2016!$A$2:$C$378,3,0)</f>
        <v>976</v>
      </c>
      <c r="H52">
        <f>VLOOKUP(A52,[5]shown_tract_singleparent_share2!$A$2:$C$378,3,0)</f>
        <v>0.6915</v>
      </c>
    </row>
    <row r="53" spans="1:8" x14ac:dyDescent="0.2">
      <c r="A53">
        <v>24510130400</v>
      </c>
      <c r="B53" t="s">
        <v>68</v>
      </c>
      <c r="C53">
        <v>23598</v>
      </c>
      <c r="D53">
        <f>VLOOKUP(A53,[4]shown_tract_poor_share2016!$A$2:$C$378,3,0)</f>
        <v>0.30499999999999999</v>
      </c>
      <c r="E53">
        <f>VLOOKUP(A53,[1]shown_tract_teenbirth_rP_gF_pal!$A$2:$C$378,3,0)</f>
        <v>0.46860000000000002</v>
      </c>
      <c r="F53">
        <f>VLOOKUP(A53,[2]shown_tract_married_rP_gF_pall!$A$2:$C$378,3,0)</f>
        <v>0.1225</v>
      </c>
      <c r="G53">
        <f>VLOOKUP(A53,[3]shown_tract_median_rent2016!$A$2:$C$378,3,0)</f>
        <v>1069</v>
      </c>
      <c r="H53">
        <f>VLOOKUP(A53,[5]shown_tract_singleparent_share2!$A$2:$C$378,3,0)</f>
        <v>0.64410000000000001</v>
      </c>
    </row>
    <row r="54" spans="1:8" x14ac:dyDescent="0.2">
      <c r="A54">
        <v>24510130600</v>
      </c>
      <c r="B54" t="s">
        <v>22</v>
      </c>
      <c r="C54">
        <v>35464</v>
      </c>
      <c r="D54">
        <f>VLOOKUP(A54,[4]shown_tract_poor_share2016!$A$2:$C$378,3,0)</f>
        <v>0.1043</v>
      </c>
      <c r="E54">
        <f>VLOOKUP(A54,[1]shown_tract_teenbirth_rP_gF_pal!$A$2:$C$378,3,0)</f>
        <v>0.34289999999999998</v>
      </c>
      <c r="F54">
        <f>VLOOKUP(A54,[2]shown_tract_married_rP_gF_pall!$A$2:$C$378,3,0)</f>
        <v>0.42420000000000002</v>
      </c>
      <c r="G54">
        <f>VLOOKUP(A54,[3]shown_tract_median_rent2016!$A$2:$C$378,3,0)</f>
        <v>1375</v>
      </c>
      <c r="H54">
        <f>VLOOKUP(A54,[5]shown_tract_singleparent_share2!$A$2:$C$378,3,0)</f>
        <v>0.2492</v>
      </c>
    </row>
    <row r="55" spans="1:8" x14ac:dyDescent="0.2">
      <c r="A55">
        <v>24510130700</v>
      </c>
      <c r="B55" t="s">
        <v>22</v>
      </c>
      <c r="C55">
        <v>38765</v>
      </c>
      <c r="D55">
        <f>VLOOKUP(A55,[4]shown_tract_poor_share2016!$A$2:$C$378,3,0)</f>
        <v>5.9299999999999999E-2</v>
      </c>
      <c r="E55">
        <f>VLOOKUP(A55,[1]shown_tract_teenbirth_rP_gF_pal!$A$2:$C$378,3,0)</f>
        <v>0.2571</v>
      </c>
      <c r="F55">
        <f>VLOOKUP(A55,[2]shown_tract_married_rP_gF_pall!$A$2:$C$378,3,0)</f>
        <v>0.40760000000000002</v>
      </c>
      <c r="G55">
        <f>VLOOKUP(A55,[3]shown_tract_median_rent2016!$A$2:$C$378,3,0)</f>
        <v>947</v>
      </c>
      <c r="H55">
        <f>VLOOKUP(A55,[5]shown_tract_singleparent_share2!$A$2:$C$378,3,0)</f>
        <v>3.4599999999999999E-2</v>
      </c>
    </row>
    <row r="56" spans="1:8" x14ac:dyDescent="0.2">
      <c r="A56">
        <v>24510130803</v>
      </c>
      <c r="B56" t="s">
        <v>29</v>
      </c>
      <c r="C56">
        <v>35857</v>
      </c>
      <c r="D56">
        <f>VLOOKUP(A56,[4]shown_tract_poor_share2016!$A$2:$C$378,3,0)</f>
        <v>9.1200000000000003E-2</v>
      </c>
      <c r="E56">
        <f>VLOOKUP(A56,[1]shown_tract_teenbirth_rP_gF_pal!$A$2:$C$378,3,0)</f>
        <v>0.1646</v>
      </c>
      <c r="F56">
        <f>VLOOKUP(A56,[2]shown_tract_married_rP_gF_pall!$A$2:$C$378,3,0)</f>
        <v>0.32229999999999998</v>
      </c>
      <c r="G56">
        <f>VLOOKUP(A56,[3]shown_tract_median_rent2016!$A$2:$C$378,3,0)</f>
        <v>1122</v>
      </c>
      <c r="H56">
        <f>VLOOKUP(A56,[5]shown_tract_singleparent_share2!$A$2:$C$378,3,0)</f>
        <v>0.39860000000000001</v>
      </c>
    </row>
    <row r="57" spans="1:8" x14ac:dyDescent="0.2">
      <c r="A57">
        <v>24510130804</v>
      </c>
      <c r="B57" t="s">
        <v>22</v>
      </c>
      <c r="C57">
        <v>34707</v>
      </c>
      <c r="D57">
        <f>VLOOKUP(A57,[4]shown_tract_poor_share2016!$A$2:$C$378,3,0)</f>
        <v>0.15590000000000001</v>
      </c>
      <c r="E57">
        <f>VLOOKUP(A57,[1]shown_tract_teenbirth_rP_gF_pal!$A$2:$C$378,3,0)</f>
        <v>0.33929999999999999</v>
      </c>
      <c r="F57">
        <f>VLOOKUP(A57,[2]shown_tract_married_rP_gF_pall!$A$2:$C$378,3,0)</f>
        <v>0.50280000000000002</v>
      </c>
      <c r="G57">
        <f>VLOOKUP(A57,[3]shown_tract_median_rent2016!$A$2:$C$378,3,0)</f>
        <v>1125</v>
      </c>
      <c r="H57">
        <f>VLOOKUP(A57,[5]shown_tract_singleparent_share2!$A$2:$C$378,3,0)</f>
        <v>0.63490000000000002</v>
      </c>
    </row>
    <row r="58" spans="1:8" x14ac:dyDescent="0.2">
      <c r="A58">
        <v>24510130805</v>
      </c>
      <c r="B58" t="s">
        <v>23</v>
      </c>
      <c r="C58">
        <v>38207</v>
      </c>
      <c r="D58">
        <f>VLOOKUP(A58,[4]shown_tract_poor_share2016!$A$2:$C$378,3,0)</f>
        <v>0.13769999999999999</v>
      </c>
      <c r="E58">
        <f>VLOOKUP(A58,[1]shown_tract_teenbirth_rP_gF_pal!$A$2:$C$378,3,0)</f>
        <v>0.23980000000000001</v>
      </c>
      <c r="F58">
        <f>VLOOKUP(A58,[2]shown_tract_married_rP_gF_pall!$A$2:$C$378,3,0)</f>
        <v>0.1769</v>
      </c>
      <c r="G58">
        <f>VLOOKUP(A58,[3]shown_tract_median_rent2016!$A$2:$C$378,3,0)</f>
        <v>766</v>
      </c>
      <c r="H58">
        <f>VLOOKUP(A58,[5]shown_tract_singleparent_share2!$A$2:$C$378,3,0)</f>
        <v>0.55769999999999997</v>
      </c>
    </row>
    <row r="59" spans="1:8" x14ac:dyDescent="0.2">
      <c r="A59">
        <v>24510130806</v>
      </c>
      <c r="B59" t="s">
        <v>33</v>
      </c>
      <c r="C59">
        <v>32483</v>
      </c>
      <c r="D59">
        <f>VLOOKUP(A59,[4]shown_tract_poor_share2016!$A$2:$C$378,3,0)</f>
        <v>0.1159</v>
      </c>
      <c r="E59">
        <f>VLOOKUP(A59,[1]shown_tract_teenbirth_rP_gF_pal!$A$2:$C$378,3,0)</f>
        <v>0.30719999999999997</v>
      </c>
      <c r="F59">
        <f>VLOOKUP(A59,[2]shown_tract_married_rP_gF_pall!$A$2:$C$378,3,0)</f>
        <v>0.32590000000000002</v>
      </c>
      <c r="G59">
        <f>VLOOKUP(A59,[3]shown_tract_median_rent2016!$A$2:$C$378,3,0)</f>
        <v>1665</v>
      </c>
      <c r="H59">
        <f>VLOOKUP(A59,[5]shown_tract_singleparent_share2!$A$2:$C$378,3,0)</f>
        <v>0.5222</v>
      </c>
    </row>
    <row r="60" spans="1:8" x14ac:dyDescent="0.2">
      <c r="A60">
        <v>24510140100</v>
      </c>
      <c r="B60" t="s">
        <v>27</v>
      </c>
      <c r="C60">
        <v>37731</v>
      </c>
      <c r="D60">
        <f>VLOOKUP(A60,[4]shown_tract_poor_share2016!$A$2:$C$378,3,0)</f>
        <v>0.17680000000000001</v>
      </c>
      <c r="E60">
        <f>VLOOKUP(A60,[1]shown_tract_teenbirth_rP_gF_pal!$A$2:$C$378,3,0)</f>
        <v>0.30919999999999997</v>
      </c>
      <c r="F60">
        <f>VLOOKUP(A60,[2]shown_tract_married_rP_gF_pall!$A$2:$C$378,3,0)</f>
        <v>0.35699999999999998</v>
      </c>
      <c r="G60">
        <f>VLOOKUP(A60,[3]shown_tract_median_rent2016!$A$2:$C$378,3,0)</f>
        <v>848</v>
      </c>
      <c r="H60">
        <f>VLOOKUP(A60,[5]shown_tract_singleparent_share2!$A$2:$C$378,3,0)</f>
        <v>0</v>
      </c>
    </row>
    <row r="61" spans="1:8" x14ac:dyDescent="0.2">
      <c r="A61">
        <v>24510140200</v>
      </c>
      <c r="B61" t="s">
        <v>103</v>
      </c>
      <c r="C61">
        <v>19350</v>
      </c>
      <c r="D61">
        <f>VLOOKUP(A61,[4]shown_tract_poor_share2016!$A$2:$C$378,3,0)</f>
        <v>0.56599999999999995</v>
      </c>
      <c r="E61">
        <f>VLOOKUP(A61,[1]shown_tract_teenbirth_rP_gF_pal!$A$2:$C$378,3,0)</f>
        <v>0.5393</v>
      </c>
      <c r="F61">
        <f>VLOOKUP(A61,[2]shown_tract_married_rP_gF_pall!$A$2:$C$378,3,0)</f>
        <v>7.7200000000000005E-2</v>
      </c>
      <c r="G61">
        <f>VLOOKUP(A61,[3]shown_tract_median_rent2016!$A$2:$C$378,3,0)</f>
        <v>743</v>
      </c>
      <c r="H61">
        <f>VLOOKUP(A61,[5]shown_tract_singleparent_share2!$A$2:$C$378,3,0)</f>
        <v>0.98080000000000001</v>
      </c>
    </row>
    <row r="62" spans="1:8" x14ac:dyDescent="0.2">
      <c r="A62">
        <v>24510140300</v>
      </c>
      <c r="B62" t="s">
        <v>109</v>
      </c>
      <c r="C62">
        <v>18429</v>
      </c>
      <c r="D62">
        <f>VLOOKUP(A62,[4]shown_tract_poor_share2016!$A$2:$C$378,3,0)</f>
        <v>0.42620000000000002</v>
      </c>
      <c r="E62">
        <f>VLOOKUP(A62,[1]shown_tract_teenbirth_rP_gF_pal!$A$2:$C$378,3,0)</f>
        <v>0.51859999999999995</v>
      </c>
      <c r="F62">
        <f>VLOOKUP(A62,[2]shown_tract_married_rP_gF_pall!$A$2:$C$378,3,0)</f>
        <v>9.1399999999999995E-2</v>
      </c>
      <c r="G62">
        <f>VLOOKUP(A62,[3]shown_tract_median_rent2016!$A$2:$C$378,3,0)</f>
        <v>955</v>
      </c>
      <c r="H62">
        <f>VLOOKUP(A62,[5]shown_tract_singleparent_share2!$A$2:$C$378,3,0)</f>
        <v>0.74919999999999998</v>
      </c>
    </row>
    <row r="63" spans="1:8" x14ac:dyDescent="0.2">
      <c r="A63">
        <v>24510150100</v>
      </c>
      <c r="B63" t="s">
        <v>96</v>
      </c>
      <c r="C63">
        <v>17709</v>
      </c>
      <c r="D63">
        <f>VLOOKUP(A63,[4]shown_tract_poor_share2016!$A$2:$C$378,3,0)</f>
        <v>0.47320000000000001</v>
      </c>
      <c r="E63">
        <f>VLOOKUP(A63,[1]shown_tract_teenbirth_rP_gF_pal!$A$2:$C$378,3,0)</f>
        <v>0.55110000000000003</v>
      </c>
      <c r="F63">
        <f>VLOOKUP(A63,[2]shown_tract_married_rP_gF_pall!$A$2:$C$378,3,0)</f>
        <v>5.2200000000000003E-2</v>
      </c>
      <c r="G63">
        <f>VLOOKUP(A63,[3]shown_tract_median_rent2016!$A$2:$C$378,3,0)</f>
        <v>401</v>
      </c>
      <c r="H63">
        <f>VLOOKUP(A63,[5]shown_tract_singleparent_share2!$A$2:$C$378,3,0)</f>
        <v>1</v>
      </c>
    </row>
    <row r="64" spans="1:8" x14ac:dyDescent="0.2">
      <c r="A64">
        <v>24510150200</v>
      </c>
      <c r="B64" t="s">
        <v>96</v>
      </c>
      <c r="C64">
        <v>20270</v>
      </c>
      <c r="D64">
        <f>VLOOKUP(A64,[4]shown_tract_poor_share2016!$A$2:$C$378,3,0)</f>
        <v>0.26329999999999998</v>
      </c>
      <c r="E64">
        <f>VLOOKUP(A64,[1]shown_tract_teenbirth_rP_gF_pal!$A$2:$C$378,3,0)</f>
        <v>0.55710000000000004</v>
      </c>
      <c r="F64">
        <f>VLOOKUP(A64,[2]shown_tract_married_rP_gF_pall!$A$2:$C$378,3,0)</f>
        <v>8.5099999999999995E-2</v>
      </c>
      <c r="G64">
        <f>VLOOKUP(A64,[3]shown_tract_median_rent2016!$A$2:$C$378,3,0)</f>
        <v>895</v>
      </c>
      <c r="H64">
        <f>VLOOKUP(A64,[5]shown_tract_singleparent_share2!$A$2:$C$378,3,0)</f>
        <v>0.6512</v>
      </c>
    </row>
    <row r="65" spans="1:8" x14ac:dyDescent="0.2">
      <c r="A65">
        <v>24510150300</v>
      </c>
      <c r="B65" t="s">
        <v>76</v>
      </c>
      <c r="C65">
        <v>22687</v>
      </c>
      <c r="D65">
        <f>VLOOKUP(A65,[4]shown_tract_poor_share2016!$A$2:$C$378,3,0)</f>
        <v>0.2349</v>
      </c>
      <c r="E65">
        <f>VLOOKUP(A65,[1]shown_tract_teenbirth_rP_gF_pal!$A$2:$C$378,3,0)</f>
        <v>0.49099999999999999</v>
      </c>
      <c r="F65">
        <f>VLOOKUP(A65,[2]shown_tract_married_rP_gF_pall!$A$2:$C$378,3,0)</f>
        <v>0.1077</v>
      </c>
      <c r="G65">
        <f>VLOOKUP(A65,[3]shown_tract_median_rent2016!$A$2:$C$378,3,0)</f>
        <v>1032</v>
      </c>
      <c r="H65">
        <f>VLOOKUP(A65,[5]shown_tract_singleparent_share2!$A$2:$C$378,3,0)</f>
        <v>0.55559999999999998</v>
      </c>
    </row>
    <row r="66" spans="1:8" x14ac:dyDescent="0.2">
      <c r="A66">
        <v>24510150400</v>
      </c>
      <c r="B66" t="s">
        <v>94</v>
      </c>
      <c r="C66">
        <v>20286</v>
      </c>
      <c r="D66">
        <f>VLOOKUP(A66,[4]shown_tract_poor_share2016!$A$2:$C$378,3,0)</f>
        <v>0.16209999999999999</v>
      </c>
      <c r="E66">
        <f>VLOOKUP(A66,[1]shown_tract_teenbirth_rP_gF_pal!$A$2:$C$378,3,0)</f>
        <v>0.50429999999999997</v>
      </c>
      <c r="F66">
        <f>VLOOKUP(A66,[2]shown_tract_married_rP_gF_pall!$A$2:$C$378,3,0)</f>
        <v>0.1053</v>
      </c>
      <c r="G66">
        <f>VLOOKUP(A66,[3]shown_tract_median_rent2016!$A$2:$C$378,3,0)</f>
        <v>911</v>
      </c>
      <c r="H66">
        <f>VLOOKUP(A66,[5]shown_tract_singleparent_share2!$A$2:$C$378,3,0)</f>
        <v>0.79490000000000005</v>
      </c>
    </row>
    <row r="67" spans="1:8" x14ac:dyDescent="0.2">
      <c r="A67">
        <v>24510150500</v>
      </c>
      <c r="B67" t="s">
        <v>61</v>
      </c>
      <c r="C67">
        <v>24561</v>
      </c>
      <c r="D67">
        <f>VLOOKUP(A67,[4]shown_tract_poor_share2016!$A$2:$C$378,3,0)</f>
        <v>0.26490000000000002</v>
      </c>
      <c r="E67">
        <f>VLOOKUP(A67,[1]shown_tract_teenbirth_rP_gF_pal!$A$2:$C$378,3,0)</f>
        <v>0.5413</v>
      </c>
      <c r="F67">
        <f>VLOOKUP(A67,[2]shown_tract_married_rP_gF_pall!$A$2:$C$378,3,0)</f>
        <v>0.1411</v>
      </c>
      <c r="G67">
        <f>VLOOKUP(A67,[3]shown_tract_median_rent2016!$A$2:$C$378,3,0)</f>
        <v>893</v>
      </c>
      <c r="H67">
        <f>VLOOKUP(A67,[5]shown_tract_singleparent_share2!$A$2:$C$378,3,0)</f>
        <v>0.86870000000000003</v>
      </c>
    </row>
    <row r="68" spans="1:8" x14ac:dyDescent="0.2">
      <c r="A68">
        <v>24510150600</v>
      </c>
      <c r="B68" t="s">
        <v>97</v>
      </c>
      <c r="C68">
        <v>20233</v>
      </c>
      <c r="D68">
        <f>VLOOKUP(A68,[4]shown_tract_poor_share2016!$A$2:$C$378,3,0)</f>
        <v>0.29239999999999999</v>
      </c>
      <c r="E68">
        <f>VLOOKUP(A68,[1]shown_tract_teenbirth_rP_gF_pal!$A$2:$C$378,3,0)</f>
        <v>0.52129999999999999</v>
      </c>
      <c r="F68">
        <f>VLOOKUP(A68,[2]shown_tract_married_rP_gF_pall!$A$2:$C$378,3,0)</f>
        <v>7.8700000000000006E-2</v>
      </c>
      <c r="G68">
        <f>VLOOKUP(A68,[3]shown_tract_median_rent2016!$A$2:$C$378,3,0)</f>
        <v>761</v>
      </c>
      <c r="H68">
        <f>VLOOKUP(A68,[5]shown_tract_singleparent_share2!$A$2:$C$378,3,0)</f>
        <v>0.85489999999999999</v>
      </c>
    </row>
    <row r="69" spans="1:8" x14ac:dyDescent="0.2">
      <c r="A69">
        <v>24510150701</v>
      </c>
      <c r="B69" t="s">
        <v>55</v>
      </c>
      <c r="C69">
        <v>25970</v>
      </c>
      <c r="D69">
        <f>VLOOKUP(A69,[4]shown_tract_poor_share2016!$A$2:$C$378,3,0)</f>
        <v>0.19159999999999999</v>
      </c>
      <c r="E69">
        <f>VLOOKUP(A69,[1]shown_tract_teenbirth_rP_gF_pal!$A$2:$C$378,3,0)</f>
        <v>0.43930000000000002</v>
      </c>
      <c r="F69">
        <f>VLOOKUP(A69,[2]shown_tract_married_rP_gF_pall!$A$2:$C$378,3,0)</f>
        <v>0.1168</v>
      </c>
      <c r="G69">
        <f>VLOOKUP(A69,[3]shown_tract_median_rent2016!$A$2:$C$378,3,0)</f>
        <v>1307</v>
      </c>
      <c r="H69">
        <f>VLOOKUP(A69,[5]shown_tract_singleparent_share2!$A$2:$C$378,3,0)</f>
        <v>0.82179999999999997</v>
      </c>
    </row>
    <row r="70" spans="1:8" x14ac:dyDescent="0.2">
      <c r="A70">
        <v>24510150702</v>
      </c>
      <c r="B70" t="s">
        <v>52</v>
      </c>
      <c r="C70">
        <v>26952</v>
      </c>
      <c r="D70">
        <f>VLOOKUP(A70,[4]shown_tract_poor_share2016!$A$2:$C$378,3,0)</f>
        <v>0.23730000000000001</v>
      </c>
      <c r="E70">
        <f>VLOOKUP(A70,[1]shown_tract_teenbirth_rP_gF_pal!$A$2:$C$378,3,0)</f>
        <v>0.4597</v>
      </c>
      <c r="F70">
        <f>VLOOKUP(A70,[2]shown_tract_married_rP_gF_pall!$A$2:$C$378,3,0)</f>
        <v>0.1275</v>
      </c>
      <c r="G70">
        <f>VLOOKUP(A70,[3]shown_tract_median_rent2016!$A$2:$C$378,3,0)</f>
        <v>1115</v>
      </c>
      <c r="H70">
        <f>VLOOKUP(A70,[5]shown_tract_singleparent_share2!$A$2:$C$378,3,0)</f>
        <v>0.89600000000000002</v>
      </c>
    </row>
    <row r="71" spans="1:8" x14ac:dyDescent="0.2">
      <c r="A71">
        <v>24510150800</v>
      </c>
      <c r="B71" t="s">
        <v>57</v>
      </c>
      <c r="C71">
        <v>25381</v>
      </c>
      <c r="D71">
        <f>VLOOKUP(A71,[4]shown_tract_poor_share2016!$A$2:$C$378,3,0)</f>
        <v>0.25629999999999997</v>
      </c>
      <c r="E71">
        <f>VLOOKUP(A71,[1]shown_tract_teenbirth_rP_gF_pal!$A$2:$C$378,3,0)</f>
        <v>0.49559999999999998</v>
      </c>
      <c r="F71">
        <f>VLOOKUP(A71,[2]shown_tract_married_rP_gF_pall!$A$2:$C$378,3,0)</f>
        <v>0.1045</v>
      </c>
      <c r="G71">
        <f>VLOOKUP(A71,[3]shown_tract_median_rent2016!$A$2:$C$378,3,0)</f>
        <v>925</v>
      </c>
      <c r="H71">
        <f>VLOOKUP(A71,[5]shown_tract_singleparent_share2!$A$2:$C$378,3,0)</f>
        <v>0.81720000000000004</v>
      </c>
    </row>
    <row r="72" spans="1:8" x14ac:dyDescent="0.2">
      <c r="A72">
        <v>24510150900</v>
      </c>
      <c r="B72" t="s">
        <v>60</v>
      </c>
      <c r="C72">
        <v>24977</v>
      </c>
      <c r="D72">
        <f>VLOOKUP(A72,[4]shown_tract_poor_share2016!$A$2:$C$378,3,0)</f>
        <v>0.21829999999999999</v>
      </c>
      <c r="E72">
        <f>VLOOKUP(A72,[1]shown_tract_teenbirth_rP_gF_pal!$A$2:$C$378,3,0)</f>
        <v>0.40939999999999999</v>
      </c>
      <c r="F72">
        <f>VLOOKUP(A72,[2]shown_tract_married_rP_gF_pall!$A$2:$C$378,3,0)</f>
        <v>8.0600000000000005E-2</v>
      </c>
      <c r="G72">
        <f>VLOOKUP(A72,[3]shown_tract_median_rent2016!$A$2:$C$378,3,0)</f>
        <v>912</v>
      </c>
      <c r="H72">
        <f>VLOOKUP(A72,[5]shown_tract_singleparent_share2!$A$2:$C$378,3,0)</f>
        <v>0.49609999999999999</v>
      </c>
    </row>
    <row r="73" spans="1:8" x14ac:dyDescent="0.2">
      <c r="A73">
        <v>24510151000</v>
      </c>
      <c r="B73" t="s">
        <v>66</v>
      </c>
      <c r="C73">
        <v>23654</v>
      </c>
      <c r="D73">
        <f>VLOOKUP(A73,[4]shown_tract_poor_share2016!$A$2:$C$378,3,0)</f>
        <v>0.27450000000000002</v>
      </c>
      <c r="E73">
        <f>VLOOKUP(A73,[1]shown_tract_teenbirth_rP_gF_pal!$A$2:$C$378,3,0)</f>
        <v>0.44790000000000002</v>
      </c>
      <c r="F73">
        <f>VLOOKUP(A73,[2]shown_tract_married_rP_gF_pall!$A$2:$C$378,3,0)</f>
        <v>0.1038</v>
      </c>
      <c r="G73">
        <f>VLOOKUP(A73,[3]shown_tract_median_rent2016!$A$2:$C$378,3,0)</f>
        <v>888</v>
      </c>
      <c r="H73">
        <f>VLOOKUP(A73,[5]shown_tract_singleparent_share2!$A$2:$C$378,3,0)</f>
        <v>0.80669999999999997</v>
      </c>
    </row>
    <row r="74" spans="1:8" x14ac:dyDescent="0.2">
      <c r="A74">
        <v>24510151100</v>
      </c>
      <c r="B74" t="s">
        <v>46</v>
      </c>
      <c r="C74">
        <v>28912</v>
      </c>
      <c r="D74">
        <f>VLOOKUP(A74,[4]shown_tract_poor_share2016!$A$2:$C$378,3,0)</f>
        <v>0.15690000000000001</v>
      </c>
      <c r="E74">
        <f>VLOOKUP(A74,[1]shown_tract_teenbirth_rP_gF_pal!$A$2:$C$378,3,0)</f>
        <v>0.36149999999999999</v>
      </c>
      <c r="F74">
        <f>VLOOKUP(A74,[2]shown_tract_married_rP_gF_pall!$A$2:$C$378,3,0)</f>
        <v>0.1464</v>
      </c>
      <c r="G74">
        <f>VLOOKUP(A74,[3]shown_tract_median_rent2016!$A$2:$C$378,3,0)</f>
        <v>861</v>
      </c>
      <c r="H74">
        <f>VLOOKUP(A74,[5]shown_tract_singleparent_share2!$A$2:$C$378,3,0)</f>
        <v>0.7823</v>
      </c>
    </row>
    <row r="75" spans="1:8" x14ac:dyDescent="0.2">
      <c r="A75">
        <v>24510151200</v>
      </c>
      <c r="B75" t="s">
        <v>79</v>
      </c>
      <c r="C75">
        <v>22384</v>
      </c>
      <c r="D75">
        <f>VLOOKUP(A75,[4]shown_tract_poor_share2016!$A$2:$C$378,3,0)</f>
        <v>0.31559999999999999</v>
      </c>
      <c r="E75">
        <f>VLOOKUP(A75,[1]shown_tract_teenbirth_rP_gF_pal!$A$2:$C$378,3,0)</f>
        <v>0.46310000000000001</v>
      </c>
      <c r="F75">
        <f>VLOOKUP(A75,[2]shown_tract_married_rP_gF_pall!$A$2:$C$378,3,0)</f>
        <v>0.1094</v>
      </c>
      <c r="G75">
        <f>VLOOKUP(A75,[3]shown_tract_median_rent2016!$A$2:$C$378,3,0)</f>
        <v>538</v>
      </c>
      <c r="H75">
        <f>VLOOKUP(A75,[5]shown_tract_singleparent_share2!$A$2:$C$378,3,0)</f>
        <v>0.73080000000000001</v>
      </c>
    </row>
    <row r="76" spans="1:8" x14ac:dyDescent="0.2">
      <c r="A76">
        <v>24510151300</v>
      </c>
      <c r="B76" t="s">
        <v>67</v>
      </c>
      <c r="C76">
        <v>21395</v>
      </c>
      <c r="D76">
        <f>VLOOKUP(A76,[4]shown_tract_poor_share2016!$A$2:$C$378,3,0)</f>
        <v>0.44309999999999999</v>
      </c>
      <c r="E76">
        <f>VLOOKUP(A76,[1]shown_tract_teenbirth_rP_gF_pal!$A$2:$C$378,3,0)</f>
        <v>0.52869999999999995</v>
      </c>
      <c r="F76">
        <f>VLOOKUP(A76,[2]shown_tract_married_rP_gF_pall!$A$2:$C$378,3,0)</f>
        <v>9.06E-2</v>
      </c>
      <c r="G76">
        <f>VLOOKUP(A76,[3]shown_tract_median_rent2016!$A$2:$C$378,3,0)</f>
        <v>957</v>
      </c>
      <c r="H76">
        <f>VLOOKUP(A76,[5]shown_tract_singleparent_share2!$A$2:$C$378,3,0)</f>
        <v>0.7681</v>
      </c>
    </row>
    <row r="77" spans="1:8" x14ac:dyDescent="0.2">
      <c r="A77">
        <v>24510160100</v>
      </c>
      <c r="B77" t="s">
        <v>95</v>
      </c>
      <c r="C77">
        <v>20279</v>
      </c>
      <c r="D77">
        <f>VLOOKUP(A77,[4]shown_tract_poor_share2016!$A$2:$C$378,3,0)</f>
        <v>0.38790000000000002</v>
      </c>
      <c r="E77">
        <f>VLOOKUP(A77,[1]shown_tract_teenbirth_rP_gF_pal!$A$2:$C$378,3,0)</f>
        <v>0.55120000000000002</v>
      </c>
      <c r="F77">
        <f>VLOOKUP(A77,[2]shown_tract_married_rP_gF_pall!$A$2:$C$378,3,0)</f>
        <v>6.4299999999999996E-2</v>
      </c>
      <c r="G77">
        <f>VLOOKUP(A77,[3]shown_tract_median_rent2016!$A$2:$C$378,3,0)</f>
        <v>690</v>
      </c>
      <c r="H77">
        <f>VLOOKUP(A77,[5]shown_tract_singleparent_share2!$A$2:$C$378,3,0)</f>
        <v>0.85619999999999996</v>
      </c>
    </row>
    <row r="78" spans="1:8" x14ac:dyDescent="0.2">
      <c r="A78">
        <v>24510160200</v>
      </c>
      <c r="B78" t="s">
        <v>96</v>
      </c>
      <c r="C78">
        <v>19809</v>
      </c>
      <c r="D78">
        <f>VLOOKUP(A78,[4]shown_tract_poor_share2016!$A$2:$C$378,3,0)</f>
        <v>0.3034</v>
      </c>
      <c r="E78">
        <f>VLOOKUP(A78,[1]shown_tract_teenbirth_rP_gF_pal!$A$2:$C$378,3,0)</f>
        <v>0.51690000000000003</v>
      </c>
      <c r="F78">
        <f>VLOOKUP(A78,[2]shown_tract_married_rP_gF_pall!$A$2:$C$378,3,0)</f>
        <v>9.7500000000000003E-2</v>
      </c>
      <c r="G78">
        <f>VLOOKUP(A78,[3]shown_tract_median_rent2016!$A$2:$C$378,3,0)</f>
        <v>767</v>
      </c>
      <c r="H78">
        <f>VLOOKUP(A78,[5]shown_tract_singleparent_share2!$A$2:$C$378,3,0)</f>
        <v>0.83789999999999998</v>
      </c>
    </row>
    <row r="79" spans="1:8" x14ac:dyDescent="0.2">
      <c r="A79">
        <v>24510160300</v>
      </c>
      <c r="B79" t="s">
        <v>96</v>
      </c>
      <c r="C79">
        <v>19401</v>
      </c>
      <c r="D79">
        <f>VLOOKUP(A79,[4]shown_tract_poor_share2016!$A$2:$C$378,3,0)</f>
        <v>0.39369999999999999</v>
      </c>
      <c r="E79">
        <f>VLOOKUP(A79,[1]shown_tract_teenbirth_rP_gF_pal!$A$2:$C$378,3,0)</f>
        <v>0.56930000000000003</v>
      </c>
      <c r="F79">
        <f>VLOOKUP(A79,[2]shown_tract_married_rP_gF_pall!$A$2:$C$378,3,0)</f>
        <v>2.2599999999999999E-2</v>
      </c>
      <c r="G79">
        <f>VLOOKUP(A79,[3]shown_tract_median_rent2016!$A$2:$C$378,3,0)</f>
        <v>814</v>
      </c>
      <c r="H79">
        <f>VLOOKUP(A79,[5]shown_tract_singleparent_share2!$A$2:$C$378,3,0)</f>
        <v>0.85229999999999995</v>
      </c>
    </row>
    <row r="80" spans="1:8" x14ac:dyDescent="0.2">
      <c r="A80">
        <v>24510160400</v>
      </c>
      <c r="B80" t="s">
        <v>100</v>
      </c>
      <c r="C80">
        <v>19802</v>
      </c>
      <c r="D80">
        <f>VLOOKUP(A80,[4]shown_tract_poor_share2016!$A$2:$C$378,3,0)</f>
        <v>0.37769999999999998</v>
      </c>
      <c r="E80">
        <f>VLOOKUP(A80,[1]shown_tract_teenbirth_rP_gF_pal!$A$2:$C$378,3,0)</f>
        <v>0.5444</v>
      </c>
      <c r="F80">
        <f>VLOOKUP(A80,[2]shown_tract_married_rP_gF_pall!$A$2:$C$378,3,0)</f>
        <v>5.0999999999999997E-2</v>
      </c>
      <c r="G80">
        <f>VLOOKUP(A80,[3]shown_tract_median_rent2016!$A$2:$C$378,3,0)</f>
        <v>982</v>
      </c>
      <c r="H80">
        <f>VLOOKUP(A80,[5]shown_tract_singleparent_share2!$A$2:$C$378,3,0)</f>
        <v>0.90780000000000005</v>
      </c>
    </row>
    <row r="81" spans="1:8" x14ac:dyDescent="0.2">
      <c r="A81">
        <v>24510160500</v>
      </c>
      <c r="B81" t="s">
        <v>80</v>
      </c>
      <c r="C81">
        <v>22158</v>
      </c>
      <c r="D81">
        <f>VLOOKUP(A81,[4]shown_tract_poor_share2016!$A$2:$C$378,3,0)</f>
        <v>0.25690000000000002</v>
      </c>
      <c r="E81">
        <f>VLOOKUP(A81,[1]shown_tract_teenbirth_rP_gF_pal!$A$2:$C$378,3,0)</f>
        <v>0.45340000000000003</v>
      </c>
      <c r="F81">
        <f>VLOOKUP(A81,[2]shown_tract_married_rP_gF_pall!$A$2:$C$378,3,0)</f>
        <v>7.2900000000000006E-2</v>
      </c>
      <c r="G81">
        <f>VLOOKUP(A81,[3]shown_tract_median_rent2016!$A$2:$C$378,3,0)</f>
        <v>1024</v>
      </c>
      <c r="H81">
        <f>VLOOKUP(A81,[5]shown_tract_singleparent_share2!$A$2:$C$378,3,0)</f>
        <v>0.69310000000000005</v>
      </c>
    </row>
    <row r="82" spans="1:8" x14ac:dyDescent="0.2">
      <c r="A82">
        <v>24510160600</v>
      </c>
      <c r="B82" t="s">
        <v>75</v>
      </c>
      <c r="C82">
        <v>22748</v>
      </c>
      <c r="D82">
        <f>VLOOKUP(A82,[4]shown_tract_poor_share2016!$A$2:$C$378,3,0)</f>
        <v>0.36230000000000001</v>
      </c>
      <c r="E82">
        <f>VLOOKUP(A82,[1]shown_tract_teenbirth_rP_gF_pal!$A$2:$C$378,3,0)</f>
        <v>0.56540000000000001</v>
      </c>
      <c r="F82">
        <f>VLOOKUP(A82,[2]shown_tract_married_rP_gF_pall!$A$2:$C$378,3,0)</f>
        <v>8.5400000000000004E-2</v>
      </c>
      <c r="G82">
        <f>VLOOKUP(A82,[3]shown_tract_median_rent2016!$A$2:$C$378,3,0)</f>
        <v>733</v>
      </c>
      <c r="H82">
        <f>VLOOKUP(A82,[5]shown_tract_singleparent_share2!$A$2:$C$378,3,0)</f>
        <v>0.88</v>
      </c>
    </row>
    <row r="83" spans="1:8" x14ac:dyDescent="0.2">
      <c r="A83">
        <v>24510160700</v>
      </c>
      <c r="B83" t="s">
        <v>83</v>
      </c>
      <c r="C83">
        <v>21705</v>
      </c>
      <c r="D83">
        <f>VLOOKUP(A83,[4]shown_tract_poor_share2016!$A$2:$C$378,3,0)</f>
        <v>0.37159999999999999</v>
      </c>
      <c r="E83">
        <f>VLOOKUP(A83,[1]shown_tract_teenbirth_rP_gF_pal!$A$2:$C$378,3,0)</f>
        <v>0.42420000000000002</v>
      </c>
      <c r="F83">
        <f>VLOOKUP(A83,[2]shown_tract_married_rP_gF_pall!$A$2:$C$378,3,0)</f>
        <v>0.115</v>
      </c>
      <c r="G83">
        <f>VLOOKUP(A83,[3]shown_tract_median_rent2016!$A$2:$C$378,3,0)</f>
        <v>1062</v>
      </c>
      <c r="H83">
        <f>VLOOKUP(A83,[5]shown_tract_singleparent_share2!$A$2:$C$378,3,0)</f>
        <v>0.7147</v>
      </c>
    </row>
    <row r="84" spans="1:8" x14ac:dyDescent="0.2">
      <c r="A84">
        <v>24510160801</v>
      </c>
      <c r="B84" t="s">
        <v>65</v>
      </c>
      <c r="C84">
        <v>23701</v>
      </c>
      <c r="D84">
        <f>VLOOKUP(A84,[4]shown_tract_poor_share2016!$A$2:$C$378,3,0)</f>
        <v>0.18340000000000001</v>
      </c>
      <c r="E84">
        <f>VLOOKUP(A84,[1]shown_tract_teenbirth_rP_gF_pal!$A$2:$C$378,3,0)</f>
        <v>0.46870000000000001</v>
      </c>
      <c r="F84">
        <f>VLOOKUP(A84,[2]shown_tract_married_rP_gF_pall!$A$2:$C$378,3,0)</f>
        <v>8.6999999999999994E-2</v>
      </c>
      <c r="G84">
        <f>VLOOKUP(A84,[3]shown_tract_median_rent2016!$A$2:$C$378,3,0)</f>
        <v>966</v>
      </c>
      <c r="H84">
        <f>VLOOKUP(A84,[5]shown_tract_singleparent_share2!$A$2:$C$378,3,0)</f>
        <v>0.73240000000000005</v>
      </c>
    </row>
    <row r="85" spans="1:8" x14ac:dyDescent="0.2">
      <c r="A85">
        <v>24510160802</v>
      </c>
      <c r="B85" t="s">
        <v>65</v>
      </c>
      <c r="C85">
        <v>22834</v>
      </c>
      <c r="D85">
        <f>VLOOKUP(A85,[4]shown_tract_poor_share2016!$A$2:$C$378,3,0)</f>
        <v>0.12809999999999999</v>
      </c>
      <c r="E85">
        <f>VLOOKUP(A85,[1]shown_tract_teenbirth_rP_gF_pal!$A$2:$C$378,3,0)</f>
        <v>0.47939999999999999</v>
      </c>
      <c r="F85">
        <f>VLOOKUP(A85,[2]shown_tract_married_rP_gF_pall!$A$2:$C$378,3,0)</f>
        <v>0.10440000000000001</v>
      </c>
      <c r="G85">
        <f>VLOOKUP(A85,[3]shown_tract_median_rent2016!$A$2:$C$378,3,0)</f>
        <v>1211</v>
      </c>
      <c r="H85">
        <f>VLOOKUP(A85,[5]shown_tract_singleparent_share2!$A$2:$C$378,3,0)</f>
        <v>0.75929999999999997</v>
      </c>
    </row>
    <row r="86" spans="1:8" x14ac:dyDescent="0.2">
      <c r="A86">
        <v>24510170100</v>
      </c>
      <c r="B86" t="s">
        <v>32</v>
      </c>
      <c r="C86">
        <v>24776</v>
      </c>
      <c r="D86">
        <f>VLOOKUP(A86,[4]shown_tract_poor_share2016!$A$2:$C$378,3,0)</f>
        <v>0.27839999999999998</v>
      </c>
      <c r="E86">
        <f>VLOOKUP(A86,[1]shown_tract_teenbirth_rP_gF_pal!$A$2:$C$378,3,0)</f>
        <v>0.45090000000000002</v>
      </c>
      <c r="F86">
        <f>VLOOKUP(A86,[2]shown_tract_married_rP_gF_pall!$A$2:$C$378,3,0)</f>
        <v>0.1056</v>
      </c>
      <c r="G86">
        <f>VLOOKUP(A86,[3]shown_tract_median_rent2016!$A$2:$C$378,3,0)</f>
        <v>961</v>
      </c>
      <c r="H86">
        <f>VLOOKUP(A86,[5]shown_tract_singleparent_share2!$A$2:$C$378,3,0)</f>
        <v>0.93330000000000002</v>
      </c>
    </row>
    <row r="87" spans="1:8" x14ac:dyDescent="0.2">
      <c r="A87">
        <v>24510170200</v>
      </c>
      <c r="B87" t="s">
        <v>107</v>
      </c>
      <c r="C87">
        <v>19019</v>
      </c>
      <c r="D87">
        <f>VLOOKUP(A87,[4]shown_tract_poor_share2016!$A$2:$C$378,3,0)</f>
        <v>0.51980000000000004</v>
      </c>
      <c r="E87">
        <f>VLOOKUP(A87,[1]shown_tract_teenbirth_rP_gF_pal!$A$2:$C$378,3,0)</f>
        <v>0.60740000000000005</v>
      </c>
      <c r="F87">
        <f>VLOOKUP(A87,[2]shown_tract_married_rP_gF_pall!$A$2:$C$378,3,0)</f>
        <v>5.5399999999999998E-2</v>
      </c>
      <c r="G87">
        <f>VLOOKUP(A87,[3]shown_tract_median_rent2016!$A$2:$C$378,3,0)</f>
        <v>388</v>
      </c>
      <c r="H87">
        <f>VLOOKUP(A87,[5]shown_tract_singleparent_share2!$A$2:$C$378,3,0)</f>
        <v>0.89929999999999999</v>
      </c>
    </row>
    <row r="88" spans="1:8" x14ac:dyDescent="0.2">
      <c r="A88">
        <v>24510170300</v>
      </c>
      <c r="B88" t="s">
        <v>103</v>
      </c>
      <c r="C88">
        <v>19493</v>
      </c>
      <c r="D88">
        <f>VLOOKUP(A88,[4]shown_tract_poor_share2016!$A$2:$C$378,3,0)</f>
        <v>0.31030000000000002</v>
      </c>
      <c r="E88">
        <f>VLOOKUP(A88,[1]shown_tract_teenbirth_rP_gF_pal!$A$2:$C$378,3,0)</f>
        <v>0.58660000000000001</v>
      </c>
      <c r="F88">
        <f>VLOOKUP(A88,[2]shown_tract_married_rP_gF_pall!$A$2:$C$378,3,0)</f>
        <v>7.2099999999999997E-2</v>
      </c>
      <c r="G88">
        <f>VLOOKUP(A88,[3]shown_tract_median_rent2016!$A$2:$C$378,3,0)</f>
        <v>769</v>
      </c>
      <c r="H88">
        <f>VLOOKUP(A88,[5]shown_tract_singleparent_share2!$A$2:$C$378,3,0)</f>
        <v>0.94069999999999998</v>
      </c>
    </row>
    <row r="89" spans="1:8" x14ac:dyDescent="0.2">
      <c r="A89">
        <v>24510180100</v>
      </c>
      <c r="B89" t="s">
        <v>72</v>
      </c>
      <c r="C89">
        <v>15979</v>
      </c>
      <c r="D89">
        <f>VLOOKUP(A89,[4]shown_tract_poor_share2016!$A$2:$C$378,3,0)</f>
        <v>0.58599999999999997</v>
      </c>
      <c r="E89">
        <f>VLOOKUP(A89,[1]shown_tract_teenbirth_rP_gF_pal!$A$2:$C$378,3,0)</f>
        <v>0.44450000000000001</v>
      </c>
      <c r="F89">
        <f>VLOOKUP(A89,[2]shown_tract_married_rP_gF_pall!$A$2:$C$378,3,0)</f>
        <v>6.4199999999999993E-2</v>
      </c>
      <c r="G89">
        <f>VLOOKUP(A89,[3]shown_tract_median_rent2016!$A$2:$C$378,3,0)</f>
        <v>484</v>
      </c>
      <c r="H89">
        <f>VLOOKUP(A89,[5]shown_tract_singleparent_share2!$A$2:$C$378,3,0)</f>
        <v>0.98299999999999998</v>
      </c>
    </row>
    <row r="90" spans="1:8" x14ac:dyDescent="0.2">
      <c r="A90">
        <v>24510180200</v>
      </c>
      <c r="B90" t="s">
        <v>72</v>
      </c>
      <c r="C90">
        <v>22926</v>
      </c>
      <c r="D90">
        <f>VLOOKUP(A90,[4]shown_tract_poor_share2016!$A$2:$C$378,3,0)</f>
        <v>0.40699999999999997</v>
      </c>
      <c r="E90">
        <f>VLOOKUP(A90,[1]shown_tract_teenbirth_rP_gF_pal!$A$2:$C$378,3,0)</f>
        <v>0.46150000000000002</v>
      </c>
      <c r="F90">
        <f>VLOOKUP(A90,[2]shown_tract_married_rP_gF_pall!$A$2:$C$378,3,0)</f>
        <v>8.4400000000000003E-2</v>
      </c>
      <c r="G90">
        <f>VLOOKUP(A90,[3]shown_tract_median_rent2016!$A$2:$C$378,3,0)</f>
        <v>497</v>
      </c>
      <c r="H90">
        <f>VLOOKUP(A90,[5]shown_tract_singleparent_share2!$A$2:$C$378,3,0)</f>
        <v>0.66669999999999996</v>
      </c>
    </row>
    <row r="91" spans="1:8" x14ac:dyDescent="0.2">
      <c r="A91">
        <v>24510180300</v>
      </c>
      <c r="B91" t="s">
        <v>78</v>
      </c>
      <c r="C91">
        <v>22384</v>
      </c>
      <c r="D91">
        <f>VLOOKUP(A91,[4]shown_tract_poor_share2016!$A$2:$C$378,3,0)</f>
        <v>0.36149999999999999</v>
      </c>
      <c r="E91">
        <f>VLOOKUP(A91,[1]shown_tract_teenbirth_rP_gF_pal!$A$2:$C$378,3,0)</f>
        <v>0.42609999999999998</v>
      </c>
      <c r="F91">
        <f>VLOOKUP(A91,[2]shown_tract_married_rP_gF_pall!$A$2:$C$378,3,0)</f>
        <v>0.1128</v>
      </c>
      <c r="G91">
        <f>VLOOKUP(A91,[3]shown_tract_median_rent2016!$A$2:$C$378,3,0)</f>
        <v>960</v>
      </c>
      <c r="H91">
        <f>VLOOKUP(A91,[5]shown_tract_singleparent_share2!$A$2:$C$378,3,0)</f>
        <v>0.8478</v>
      </c>
    </row>
    <row r="92" spans="1:8" x14ac:dyDescent="0.2">
      <c r="A92">
        <v>24510190100</v>
      </c>
      <c r="B92" t="s">
        <v>111</v>
      </c>
      <c r="C92">
        <v>18168</v>
      </c>
      <c r="D92">
        <f>VLOOKUP(A92,[4]shown_tract_poor_share2016!$A$2:$C$378,3,0)</f>
        <v>0.38719999999999999</v>
      </c>
      <c r="E92">
        <f>VLOOKUP(A92,[1]shown_tract_teenbirth_rP_gF_pal!$A$2:$C$378,3,0)</f>
        <v>0.53610000000000002</v>
      </c>
      <c r="F92">
        <f>VLOOKUP(A92,[2]shown_tract_married_rP_gF_pall!$A$2:$C$378,3,0)</f>
        <v>4.3499999999999997E-2</v>
      </c>
      <c r="G92">
        <f>VLOOKUP(A92,[3]shown_tract_median_rent2016!$A$2:$C$378,3,0)</f>
        <v>743</v>
      </c>
      <c r="H92">
        <f>VLOOKUP(A92,[5]shown_tract_singleparent_share2!$A$2:$C$378,3,0)</f>
        <v>0.97450000000000003</v>
      </c>
    </row>
    <row r="93" spans="1:8" x14ac:dyDescent="0.2">
      <c r="A93">
        <v>24510190200</v>
      </c>
      <c r="B93" t="s">
        <v>87</v>
      </c>
      <c r="C93">
        <v>21278</v>
      </c>
      <c r="D93">
        <f>VLOOKUP(A93,[4]shown_tract_poor_share2016!$A$2:$C$378,3,0)</f>
        <v>0.33079999999999998</v>
      </c>
      <c r="E93">
        <f>VLOOKUP(A93,[1]shown_tract_teenbirth_rP_gF_pal!$A$2:$C$378,3,0)</f>
        <v>0.4118</v>
      </c>
      <c r="F93">
        <f>VLOOKUP(A93,[2]shown_tract_married_rP_gF_pall!$A$2:$C$378,3,0)</f>
        <v>0.18529999999999999</v>
      </c>
      <c r="G93">
        <f>VLOOKUP(A93,[3]shown_tract_median_rent2016!$A$2:$C$378,3,0)</f>
        <v>969</v>
      </c>
      <c r="H93">
        <f>VLOOKUP(A93,[5]shown_tract_singleparent_share2!$A$2:$C$378,3,0)</f>
        <v>0.73680000000000001</v>
      </c>
    </row>
    <row r="94" spans="1:8" x14ac:dyDescent="0.2">
      <c r="A94">
        <v>24510190300</v>
      </c>
      <c r="B94" t="s">
        <v>101</v>
      </c>
      <c r="C94">
        <v>19764</v>
      </c>
      <c r="D94">
        <f>VLOOKUP(A94,[4]shown_tract_poor_share2016!$A$2:$C$378,3,0)</f>
        <v>0.36259999999999998</v>
      </c>
      <c r="E94">
        <f>VLOOKUP(A94,[1]shown_tract_teenbirth_rP_gF_pal!$A$2:$C$378,3,0)</f>
        <v>0.4642</v>
      </c>
      <c r="F94">
        <f>VLOOKUP(A94,[2]shown_tract_married_rP_gF_pall!$A$2:$C$378,3,0)</f>
        <v>0.16589999999999999</v>
      </c>
      <c r="G94">
        <f>VLOOKUP(A94,[3]shown_tract_median_rent2016!$A$2:$C$378,3,0)</f>
        <v>859</v>
      </c>
      <c r="H94">
        <f>VLOOKUP(A94,[5]shown_tract_singleparent_share2!$A$2:$C$378,3,0)</f>
        <v>0.64470000000000005</v>
      </c>
    </row>
    <row r="95" spans="1:8" x14ac:dyDescent="0.2">
      <c r="A95">
        <v>24510200100</v>
      </c>
      <c r="B95" t="s">
        <v>84</v>
      </c>
      <c r="C95">
        <v>21614</v>
      </c>
      <c r="D95">
        <f>VLOOKUP(A95,[4]shown_tract_poor_share2016!$A$2:$C$378,3,0)</f>
        <v>0.47499999999999998</v>
      </c>
      <c r="E95">
        <f>VLOOKUP(A95,[1]shown_tract_teenbirth_rP_gF_pal!$A$2:$C$378,3,0)</f>
        <v>0.60780000000000001</v>
      </c>
      <c r="F95">
        <f>VLOOKUP(A95,[2]shown_tract_married_rP_gF_pall!$A$2:$C$378,3,0)</f>
        <v>1.7600000000000001E-2</v>
      </c>
      <c r="G95">
        <f>VLOOKUP(A95,[3]shown_tract_median_rent2016!$A$2:$C$378,3,0)</f>
        <v>1106</v>
      </c>
      <c r="H95">
        <f>VLOOKUP(A95,[5]shown_tract_singleparent_share2!$A$2:$C$378,3,0)</f>
        <v>0.66339999999999999</v>
      </c>
    </row>
    <row r="96" spans="1:8" x14ac:dyDescent="0.2">
      <c r="A96">
        <v>24510200200</v>
      </c>
      <c r="B96" t="s">
        <v>84</v>
      </c>
      <c r="C96">
        <v>19401</v>
      </c>
      <c r="D96">
        <f>VLOOKUP(A96,[4]shown_tract_poor_share2016!$A$2:$C$378,3,0)</f>
        <v>0.38719999999999999</v>
      </c>
      <c r="E96">
        <f>VLOOKUP(A96,[1]shown_tract_teenbirth_rP_gF_pal!$A$2:$C$378,3,0)</f>
        <v>0.50070000000000003</v>
      </c>
      <c r="F96">
        <f>VLOOKUP(A96,[2]shown_tract_married_rP_gF_pall!$A$2:$C$378,3,0)</f>
        <v>8.2299999999999998E-2</v>
      </c>
      <c r="G96">
        <f>VLOOKUP(A96,[3]shown_tract_median_rent2016!$A$2:$C$378,3,0)</f>
        <v>1029</v>
      </c>
      <c r="H96">
        <f>VLOOKUP(A96,[5]shown_tract_singleparent_share2!$A$2:$C$378,3,0)</f>
        <v>0.44550000000000001</v>
      </c>
    </row>
    <row r="97" spans="1:8" x14ac:dyDescent="0.2">
      <c r="A97">
        <v>24510200300</v>
      </c>
      <c r="B97" t="s">
        <v>105</v>
      </c>
      <c r="C97">
        <v>19404</v>
      </c>
      <c r="D97">
        <f>VLOOKUP(A97,[4]shown_tract_poor_share2016!$A$2:$C$378,3,0)</f>
        <v>0.4375</v>
      </c>
      <c r="E97">
        <f>VLOOKUP(A97,[1]shown_tract_teenbirth_rP_gF_pal!$A$2:$C$378,3,0)</f>
        <v>0.55979999999999996</v>
      </c>
      <c r="F97">
        <f>VLOOKUP(A97,[2]shown_tract_married_rP_gF_pall!$A$2:$C$378,3,0)</f>
        <v>0.1888</v>
      </c>
      <c r="G97">
        <f>VLOOKUP(A97,[3]shown_tract_median_rent2016!$A$2:$C$378,3,0)</f>
        <v>1000</v>
      </c>
      <c r="H97">
        <f>VLOOKUP(A97,[5]shown_tract_singleparent_share2!$A$2:$C$378,3,0)</f>
        <v>0.92379999999999995</v>
      </c>
    </row>
    <row r="98" spans="1:8" x14ac:dyDescent="0.2">
      <c r="A98">
        <v>24510200400</v>
      </c>
      <c r="B98" t="s">
        <v>112</v>
      </c>
      <c r="C98">
        <v>17979</v>
      </c>
      <c r="D98">
        <f>VLOOKUP(A98,[4]shown_tract_poor_share2016!$A$2:$C$378,3,0)</f>
        <v>0.38800000000000001</v>
      </c>
      <c r="E98">
        <f>VLOOKUP(A98,[1]shown_tract_teenbirth_rP_gF_pal!$A$2:$C$378,3,0)</f>
        <v>0.59809999999999997</v>
      </c>
      <c r="F98">
        <f>VLOOKUP(A98,[2]shown_tract_married_rP_gF_pall!$A$2:$C$378,3,0)</f>
        <v>7.17E-2</v>
      </c>
      <c r="G98">
        <f>VLOOKUP(A98,[3]shown_tract_median_rent2016!$A$2:$C$378,3,0)</f>
        <v>838</v>
      </c>
      <c r="H98">
        <f>VLOOKUP(A98,[5]shown_tract_singleparent_share2!$A$2:$C$378,3,0)</f>
        <v>0.81330000000000002</v>
      </c>
    </row>
    <row r="99" spans="1:8" x14ac:dyDescent="0.2">
      <c r="A99">
        <v>24510200600</v>
      </c>
      <c r="B99" t="s">
        <v>9</v>
      </c>
      <c r="C99">
        <v>22959</v>
      </c>
      <c r="D99">
        <f>VLOOKUP(A99,[4]shown_tract_poor_share2016!$A$2:$C$378,3,0)</f>
        <v>0.28260000000000002</v>
      </c>
      <c r="E99">
        <f>VLOOKUP(A99,[1]shown_tract_teenbirth_rP_gF_pal!$A$2:$C$378,3,0)</f>
        <v>0.43409999999999999</v>
      </c>
      <c r="F99">
        <f>VLOOKUP(A99,[2]shown_tract_married_rP_gF_pall!$A$2:$C$378,3,0)</f>
        <v>0.1804</v>
      </c>
      <c r="G99">
        <f>VLOOKUP(A99,[3]shown_tract_median_rent2016!$A$2:$C$378,3,0)</f>
        <v>1094</v>
      </c>
      <c r="H99">
        <f>VLOOKUP(A99,[5]shown_tract_singleparent_share2!$A$2:$C$378,3,0)</f>
        <v>0.59860000000000002</v>
      </c>
    </row>
    <row r="100" spans="1:8" x14ac:dyDescent="0.2">
      <c r="A100">
        <v>24510200701</v>
      </c>
      <c r="B100" t="s">
        <v>59</v>
      </c>
      <c r="C100">
        <v>25104</v>
      </c>
      <c r="D100">
        <f>VLOOKUP(A100,[4]shown_tract_poor_share2016!$A$2:$C$378,3,0)</f>
        <v>0.26979999999999998</v>
      </c>
      <c r="E100">
        <f>VLOOKUP(A100,[1]shown_tract_teenbirth_rP_gF_pal!$A$2:$C$378,3,0)</f>
        <v>0.47370000000000001</v>
      </c>
      <c r="F100">
        <f>VLOOKUP(A100,[2]shown_tract_married_rP_gF_pall!$A$2:$C$378,3,0)</f>
        <v>9.6199999999999994E-2</v>
      </c>
      <c r="G100">
        <f>VLOOKUP(A100,[3]shown_tract_median_rent2016!$A$2:$C$378,3,0)</f>
        <v>860</v>
      </c>
      <c r="H100">
        <f>VLOOKUP(A100,[5]shown_tract_singleparent_share2!$A$2:$C$378,3,0)</f>
        <v>0.74339999999999995</v>
      </c>
    </row>
    <row r="101" spans="1:8" x14ac:dyDescent="0.2">
      <c r="A101">
        <v>24510200702</v>
      </c>
      <c r="B101" t="s">
        <v>70</v>
      </c>
      <c r="C101">
        <v>23275</v>
      </c>
      <c r="D101">
        <f>VLOOKUP(A101,[4]shown_tract_poor_share2016!$A$2:$C$378,3,0)</f>
        <v>0.39560000000000001</v>
      </c>
      <c r="E101">
        <f>VLOOKUP(A101,[1]shown_tract_teenbirth_rP_gF_pal!$A$2:$C$378,3,0)</f>
        <v>0.48780000000000001</v>
      </c>
      <c r="F101">
        <f>VLOOKUP(A101,[2]shown_tract_married_rP_gF_pall!$A$2:$C$378,3,0)</f>
        <v>0.15359999999999999</v>
      </c>
      <c r="G101">
        <f>VLOOKUP(A101,[3]shown_tract_median_rent2016!$A$2:$C$378,3,0)</f>
        <v>1112</v>
      </c>
      <c r="H101">
        <f>VLOOKUP(A101,[5]shown_tract_singleparent_share2!$A$2:$C$378,3,0)</f>
        <v>0.85919999999999996</v>
      </c>
    </row>
    <row r="102" spans="1:8" x14ac:dyDescent="0.2">
      <c r="A102">
        <v>24510200800</v>
      </c>
      <c r="B102" t="s">
        <v>53</v>
      </c>
      <c r="C102">
        <v>26669</v>
      </c>
      <c r="D102">
        <f>VLOOKUP(A102,[4]shown_tract_poor_share2016!$A$2:$C$378,3,0)</f>
        <v>0.26150000000000001</v>
      </c>
      <c r="E102">
        <f>VLOOKUP(A102,[1]shown_tract_teenbirth_rP_gF_pal!$A$2:$C$378,3,0)</f>
        <v>0.48020000000000002</v>
      </c>
      <c r="F102">
        <f>VLOOKUP(A102,[2]shown_tract_married_rP_gF_pall!$A$2:$C$378,3,0)</f>
        <v>0.11459999999999999</v>
      </c>
      <c r="G102">
        <f>VLOOKUP(A102,[3]shown_tract_median_rent2016!$A$2:$C$378,3,0)</f>
        <v>782</v>
      </c>
      <c r="H102">
        <f>VLOOKUP(A102,[5]shown_tract_singleparent_share2!$A$2:$C$378,3,0)</f>
        <v>0.75839999999999996</v>
      </c>
    </row>
    <row r="103" spans="1:8" x14ac:dyDescent="0.2">
      <c r="A103">
        <v>24510220100</v>
      </c>
      <c r="B103" t="s">
        <v>9</v>
      </c>
      <c r="C103">
        <v>48714</v>
      </c>
      <c r="D103">
        <f>VLOOKUP(A103,[4]shown_tract_poor_share2016!$A$2:$C$378,3,0)</f>
        <v>0.1106</v>
      </c>
      <c r="E103">
        <f>VLOOKUP(A103,[1]shown_tract_teenbirth_rP_gF_pal!$A$2:$C$378,3,0)</f>
        <v>0.15759999999999999</v>
      </c>
      <c r="F103">
        <f>VLOOKUP(A103,[2]shown_tract_married_rP_gF_pall!$A$2:$C$378,3,0)</f>
        <v>0.35220000000000001</v>
      </c>
      <c r="G103">
        <f>VLOOKUP(A103,[3]shown_tract_median_rent2016!$A$2:$C$378,3,0)</f>
        <v>1339</v>
      </c>
      <c r="H103">
        <f>VLOOKUP(A103,[5]shown_tract_singleparent_share2!$A$2:$C$378,3,0)</f>
        <v>0.51949999999999996</v>
      </c>
    </row>
    <row r="104" spans="1:8" x14ac:dyDescent="0.2">
      <c r="A104">
        <v>24510260101</v>
      </c>
      <c r="B104" t="s">
        <v>30</v>
      </c>
      <c r="C104">
        <v>34720</v>
      </c>
      <c r="D104">
        <f>VLOOKUP(A104,[4]shown_tract_poor_share2016!$A$2:$C$378,3,0)</f>
        <v>0.18720000000000001</v>
      </c>
      <c r="E104">
        <f>VLOOKUP(A104,[1]shown_tract_teenbirth_rP_gF_pal!$A$2:$C$378,3,0)</f>
        <v>0.33139999999999997</v>
      </c>
      <c r="F104">
        <f>VLOOKUP(A104,[2]shown_tract_married_rP_gF_pall!$A$2:$C$378,3,0)</f>
        <v>0.32090000000000002</v>
      </c>
      <c r="G104">
        <f>VLOOKUP(A104,[3]shown_tract_median_rent2016!$A$2:$C$378,3,0)</f>
        <v>1012</v>
      </c>
      <c r="H104">
        <f>VLOOKUP(A104,[5]shown_tract_singleparent_share2!$A$2:$C$378,3,0)</f>
        <v>0.60540000000000005</v>
      </c>
    </row>
    <row r="105" spans="1:8" x14ac:dyDescent="0.2">
      <c r="A105">
        <v>24510260102</v>
      </c>
      <c r="B105" t="s">
        <v>40</v>
      </c>
      <c r="C105">
        <v>30843</v>
      </c>
      <c r="D105">
        <f>VLOOKUP(A105,[4]shown_tract_poor_share2016!$A$2:$C$378,3,0)</f>
        <v>0.1152</v>
      </c>
      <c r="E105">
        <f>VLOOKUP(A105,[1]shown_tract_teenbirth_rP_gF_pal!$A$2:$C$378,3,0)</f>
        <v>0.3422</v>
      </c>
      <c r="F105">
        <f>VLOOKUP(A105,[2]shown_tract_married_rP_gF_pall!$A$2:$C$378,3,0)</f>
        <v>0.1825</v>
      </c>
      <c r="G105">
        <f>VLOOKUP(A105,[3]shown_tract_median_rent2016!$A$2:$C$378,3,0)</f>
        <v>868</v>
      </c>
      <c r="H105">
        <f>VLOOKUP(A105,[5]shown_tract_singleparent_share2!$A$2:$C$378,3,0)</f>
        <v>0.55700000000000005</v>
      </c>
    </row>
    <row r="106" spans="1:8" x14ac:dyDescent="0.2">
      <c r="A106">
        <v>24510260201</v>
      </c>
      <c r="B106" t="s">
        <v>40</v>
      </c>
      <c r="C106">
        <v>27754</v>
      </c>
      <c r="D106">
        <f>VLOOKUP(A106,[4]shown_tract_poor_share2016!$A$2:$C$378,3,0)</f>
        <v>0.17730000000000001</v>
      </c>
      <c r="E106">
        <f>VLOOKUP(A106,[1]shown_tract_teenbirth_rP_gF_pal!$A$2:$C$378,3,0)</f>
        <v>0.39229999999999998</v>
      </c>
      <c r="F106">
        <f>VLOOKUP(A106,[2]shown_tract_married_rP_gF_pall!$A$2:$C$378,3,0)</f>
        <v>0.1822</v>
      </c>
      <c r="G106">
        <f>VLOOKUP(A106,[3]shown_tract_median_rent2016!$A$2:$C$378,3,0)</f>
        <v>853</v>
      </c>
      <c r="H106">
        <f>VLOOKUP(A106,[5]shown_tract_singleparent_share2!$A$2:$C$378,3,0)</f>
        <v>0.5615</v>
      </c>
    </row>
    <row r="107" spans="1:8" x14ac:dyDescent="0.2">
      <c r="A107">
        <v>24510260202</v>
      </c>
      <c r="B107" t="s">
        <v>56</v>
      </c>
      <c r="C107">
        <v>25652</v>
      </c>
      <c r="D107">
        <f>VLOOKUP(A107,[4]shown_tract_poor_share2016!$A$2:$C$378,3,0)</f>
        <v>0.18029999999999999</v>
      </c>
      <c r="E107">
        <f>VLOOKUP(A107,[1]shown_tract_teenbirth_rP_gF_pal!$A$2:$C$378,3,0)</f>
        <v>0.43230000000000002</v>
      </c>
      <c r="F107">
        <f>VLOOKUP(A107,[2]shown_tract_married_rP_gF_pall!$A$2:$C$378,3,0)</f>
        <v>0.1462</v>
      </c>
      <c r="G107">
        <f>VLOOKUP(A107,[3]shown_tract_median_rent2016!$A$2:$C$378,3,0)</f>
        <v>828</v>
      </c>
      <c r="H107">
        <f>VLOOKUP(A107,[5]shown_tract_singleparent_share2!$A$2:$C$378,3,0)</f>
        <v>0.56340000000000001</v>
      </c>
    </row>
    <row r="108" spans="1:8" x14ac:dyDescent="0.2">
      <c r="A108">
        <v>24510260203</v>
      </c>
      <c r="B108" t="s">
        <v>40</v>
      </c>
      <c r="C108">
        <v>25018</v>
      </c>
      <c r="D108">
        <f>VLOOKUP(A108,[4]shown_tract_poor_share2016!$A$2:$C$378,3,0)</f>
        <v>0.21279999999999999</v>
      </c>
      <c r="E108">
        <f>VLOOKUP(A108,[1]shown_tract_teenbirth_rP_gF_pal!$A$2:$C$378,3,0)</f>
        <v>0.36099999999999999</v>
      </c>
      <c r="F108">
        <f>VLOOKUP(A108,[2]shown_tract_married_rP_gF_pall!$A$2:$C$378,3,0)</f>
        <v>0.15049999999999999</v>
      </c>
      <c r="G108">
        <f>VLOOKUP(A108,[3]shown_tract_median_rent2016!$A$2:$C$378,3,0)</f>
        <v>956</v>
      </c>
      <c r="H108">
        <f>VLOOKUP(A108,[5]shown_tract_singleparent_share2!$A$2:$C$378,3,0)</f>
        <v>0.65939999999999999</v>
      </c>
    </row>
    <row r="109" spans="1:8" x14ac:dyDescent="0.2">
      <c r="A109">
        <v>24510260301</v>
      </c>
      <c r="B109" t="s">
        <v>36</v>
      </c>
      <c r="C109">
        <v>24400</v>
      </c>
      <c r="D109">
        <f>VLOOKUP(A109,[4]shown_tract_poor_share2016!$A$2:$C$378,3,0)</f>
        <v>0.31630000000000003</v>
      </c>
      <c r="E109">
        <f>VLOOKUP(A109,[1]shown_tract_teenbirth_rP_gF_pal!$A$2:$C$378,3,0)</f>
        <v>0.40770000000000001</v>
      </c>
      <c r="F109">
        <f>VLOOKUP(A109,[2]shown_tract_married_rP_gF_pall!$A$2:$C$378,3,0)</f>
        <v>0.16739999999999999</v>
      </c>
      <c r="G109">
        <f>VLOOKUP(A109,[3]shown_tract_median_rent2016!$A$2:$C$378,3,0)</f>
        <v>1303</v>
      </c>
      <c r="H109">
        <f>VLOOKUP(A109,[5]shown_tract_singleparent_share2!$A$2:$C$378,3,0)</f>
        <v>0.85919999999999996</v>
      </c>
    </row>
    <row r="110" spans="1:8" x14ac:dyDescent="0.2">
      <c r="A110">
        <v>24510260302</v>
      </c>
      <c r="B110" t="s">
        <v>36</v>
      </c>
      <c r="C110">
        <v>28615</v>
      </c>
      <c r="D110">
        <f>VLOOKUP(A110,[4]shown_tract_poor_share2016!$A$2:$C$378,3,0)</f>
        <v>0.27510000000000001</v>
      </c>
      <c r="E110">
        <f>VLOOKUP(A110,[1]shown_tract_teenbirth_rP_gF_pal!$A$2:$C$378,3,0)</f>
        <v>0.43440000000000001</v>
      </c>
      <c r="F110">
        <f>VLOOKUP(A110,[2]shown_tract_married_rP_gF_pall!$A$2:$C$378,3,0)</f>
        <v>0.16889999999999999</v>
      </c>
      <c r="G110">
        <f>VLOOKUP(A110,[3]shown_tract_median_rent2016!$A$2:$C$378,3,0)</f>
        <v>1023</v>
      </c>
      <c r="H110">
        <f>VLOOKUP(A110,[5]shown_tract_singleparent_share2!$A$2:$C$378,3,0)</f>
        <v>0.89059999999999995</v>
      </c>
    </row>
    <row r="111" spans="1:8" x14ac:dyDescent="0.2">
      <c r="A111">
        <v>24510260303</v>
      </c>
      <c r="B111" t="s">
        <v>108</v>
      </c>
      <c r="C111">
        <v>18894</v>
      </c>
      <c r="D111">
        <f>VLOOKUP(A111,[4]shown_tract_poor_share2016!$A$2:$C$378,3,0)</f>
        <v>0.37080000000000002</v>
      </c>
      <c r="E111">
        <f>VLOOKUP(A111,[1]shown_tract_teenbirth_rP_gF_pal!$A$2:$C$378,3,0)</f>
        <v>0.46810000000000002</v>
      </c>
      <c r="F111">
        <f>VLOOKUP(A111,[2]shown_tract_married_rP_gF_pall!$A$2:$C$378,3,0)</f>
        <v>8.6599999999999996E-2</v>
      </c>
      <c r="G111">
        <f>VLOOKUP(A111,[3]shown_tract_median_rent2016!$A$2:$C$378,3,0)</f>
        <v>1006</v>
      </c>
      <c r="H111">
        <f>VLOOKUP(A111,[5]shown_tract_singleparent_share2!$A$2:$C$378,3,0)</f>
        <v>0.86760000000000004</v>
      </c>
    </row>
    <row r="112" spans="1:8" x14ac:dyDescent="0.2">
      <c r="A112">
        <v>24510260401</v>
      </c>
      <c r="B112" t="s">
        <v>43</v>
      </c>
      <c r="C112">
        <v>30027</v>
      </c>
      <c r="D112">
        <f>VLOOKUP(A112,[4]shown_tract_poor_share2016!$A$2:$C$378,3,0)</f>
        <v>0.19689999999999999</v>
      </c>
      <c r="E112">
        <f>VLOOKUP(A112,[1]shown_tract_teenbirth_rP_gF_pal!$A$2:$C$378,3,0)</f>
        <v>0.28839999999999999</v>
      </c>
      <c r="F112">
        <f>VLOOKUP(A112,[2]shown_tract_married_rP_gF_pall!$A$2:$C$378,3,0)</f>
        <v>0.3054</v>
      </c>
      <c r="G112">
        <f>VLOOKUP(A112,[3]shown_tract_median_rent2016!$A$2:$C$378,3,0)</f>
        <v>610</v>
      </c>
      <c r="H112">
        <f>VLOOKUP(A112,[5]shown_tract_singleparent_share2!$A$2:$C$378,3,0)</f>
        <v>0.51329999999999998</v>
      </c>
    </row>
    <row r="113" spans="1:8" x14ac:dyDescent="0.2">
      <c r="A113">
        <v>24510260402</v>
      </c>
      <c r="B113" t="s">
        <v>40</v>
      </c>
      <c r="C113">
        <v>23702</v>
      </c>
      <c r="D113">
        <f>VLOOKUP(A113,[4]shown_tract_poor_share2016!$A$2:$C$378,3,0)</f>
        <v>0.2457</v>
      </c>
      <c r="E113">
        <f>VLOOKUP(A113,[1]shown_tract_teenbirth_rP_gF_pal!$A$2:$C$378,3,0)</f>
        <v>0.52180000000000004</v>
      </c>
      <c r="F113">
        <f>VLOOKUP(A113,[2]shown_tract_married_rP_gF_pall!$A$2:$C$378,3,0)</f>
        <v>0.12379999999999999</v>
      </c>
      <c r="G113">
        <f>VLOOKUP(A113,[3]shown_tract_median_rent2016!$A$2:$C$378,3,0)</f>
        <v>862</v>
      </c>
      <c r="H113">
        <f>VLOOKUP(A113,[5]shown_tract_singleparent_share2!$A$2:$C$378,3,0)</f>
        <v>0.67410000000000003</v>
      </c>
    </row>
    <row r="114" spans="1:8" x14ac:dyDescent="0.2">
      <c r="A114">
        <v>24510260403</v>
      </c>
      <c r="B114" t="s">
        <v>73</v>
      </c>
      <c r="C114">
        <v>22835</v>
      </c>
      <c r="D114">
        <f>VLOOKUP(A114,[4]shown_tract_poor_share2016!$A$2:$C$378,3,0)</f>
        <v>0.2989</v>
      </c>
      <c r="E114">
        <f>VLOOKUP(A114,[1]shown_tract_teenbirth_rP_gF_pal!$A$2:$C$378,3,0)</f>
        <v>0.52529999999999999</v>
      </c>
      <c r="F114">
        <f>VLOOKUP(A114,[2]shown_tract_married_rP_gF_pall!$A$2:$C$378,3,0)</f>
        <v>0.1024</v>
      </c>
      <c r="G114">
        <f>VLOOKUP(A114,[3]shown_tract_median_rent2016!$A$2:$C$378,3,0)</f>
        <v>831</v>
      </c>
      <c r="H114">
        <f>VLOOKUP(A114,[5]shown_tract_singleparent_share2!$A$2:$C$378,3,0)</f>
        <v>0.79059999999999997</v>
      </c>
    </row>
    <row r="115" spans="1:8" x14ac:dyDescent="0.2">
      <c r="A115">
        <v>24510260404</v>
      </c>
      <c r="B115" t="s">
        <v>42</v>
      </c>
      <c r="C115">
        <v>24252</v>
      </c>
      <c r="D115">
        <f>VLOOKUP(A115,[4]shown_tract_poor_share2016!$A$2:$C$378,3,0)</f>
        <v>0.3004</v>
      </c>
      <c r="E115">
        <f>VLOOKUP(A115,[1]shown_tract_teenbirth_rP_gF_pal!$A$2:$C$378,3,0)</f>
        <v>0.41199999999999998</v>
      </c>
      <c r="F115">
        <f>VLOOKUP(A115,[2]shown_tract_married_rP_gF_pall!$A$2:$C$378,3,0)</f>
        <v>0.2298</v>
      </c>
      <c r="G115">
        <f>VLOOKUP(A115,[3]shown_tract_median_rent2016!$A$2:$C$378,3,0)</f>
        <v>1193</v>
      </c>
      <c r="H115">
        <f>VLOOKUP(A115,[5]shown_tract_singleparent_share2!$A$2:$C$378,3,0)</f>
        <v>0.70140000000000002</v>
      </c>
    </row>
    <row r="116" spans="1:8" x14ac:dyDescent="0.2">
      <c r="A116">
        <v>24510260501</v>
      </c>
      <c r="B116" t="s">
        <v>28</v>
      </c>
      <c r="C116">
        <v>36983</v>
      </c>
      <c r="D116">
        <f>VLOOKUP(A116,[4]shown_tract_poor_share2016!$A$2:$C$378,3,0)</f>
        <v>0.11219999999999999</v>
      </c>
      <c r="E116">
        <f>VLOOKUP(A116,[1]shown_tract_teenbirth_rP_gF_pal!$A$2:$C$378,3,0)</f>
        <v>0.19</v>
      </c>
      <c r="F116">
        <f>VLOOKUP(A116,[2]shown_tract_married_rP_gF_pall!$A$2:$C$378,3,0)</f>
        <v>0.38790000000000002</v>
      </c>
      <c r="G116">
        <f>VLOOKUP(A116,[3]shown_tract_median_rent2016!$A$2:$C$378,3,0)</f>
        <v>1061</v>
      </c>
      <c r="H116">
        <f>VLOOKUP(A116,[5]shown_tract_singleparent_share2!$A$2:$C$378,3,0)</f>
        <v>0.44700000000000001</v>
      </c>
    </row>
    <row r="117" spans="1:8" x14ac:dyDescent="0.2">
      <c r="A117">
        <v>24510260700</v>
      </c>
      <c r="B117" t="s">
        <v>34</v>
      </c>
      <c r="C117">
        <v>32278</v>
      </c>
      <c r="D117">
        <f>VLOOKUP(A117,[4]shown_tract_poor_share2016!$A$2:$C$378,3,0)</f>
        <v>0.2243</v>
      </c>
      <c r="E117">
        <f>VLOOKUP(A117,[1]shown_tract_teenbirth_rP_gF_pal!$A$2:$C$378,3,0)</f>
        <v>0.23089999999999999</v>
      </c>
      <c r="F117">
        <f>VLOOKUP(A117,[2]shown_tract_married_rP_gF_pall!$A$2:$C$378,3,0)</f>
        <v>0.32169999999999999</v>
      </c>
      <c r="G117">
        <f>VLOOKUP(A117,[3]shown_tract_median_rent2016!$A$2:$C$378,3,0)</f>
        <v>1288</v>
      </c>
      <c r="H117">
        <f>VLOOKUP(A117,[5]shown_tract_singleparent_share2!$A$2:$C$378,3,0)</f>
        <v>0.44</v>
      </c>
    </row>
    <row r="118" spans="1:8" x14ac:dyDescent="0.2">
      <c r="A118">
        <v>24510260800</v>
      </c>
      <c r="B118" t="s">
        <v>42</v>
      </c>
      <c r="C118">
        <v>30040</v>
      </c>
      <c r="D118">
        <f>VLOOKUP(A118,[4]shown_tract_poor_share2016!$A$2:$C$378,3,0)</f>
        <v>0.26840000000000003</v>
      </c>
      <c r="E118">
        <f>VLOOKUP(A118,[1]shown_tract_teenbirth_rP_gF_pal!$A$2:$C$378,3,0)</f>
        <v>0.36230000000000001</v>
      </c>
      <c r="F118">
        <f>VLOOKUP(A118,[2]shown_tract_married_rP_gF_pall!$A$2:$C$378,3,0)</f>
        <v>0.33210000000000001</v>
      </c>
      <c r="G118">
        <f>VLOOKUP(A118,[3]shown_tract_median_rent2016!$A$2:$C$378,3,0)</f>
        <v>1078</v>
      </c>
      <c r="H118">
        <f>VLOOKUP(A118,[5]shown_tract_singleparent_share2!$A$2:$C$378,3,0)</f>
        <v>0.38119999999999998</v>
      </c>
    </row>
    <row r="119" spans="1:8" x14ac:dyDescent="0.2">
      <c r="A119">
        <v>24510260900</v>
      </c>
      <c r="B119" t="s">
        <v>9</v>
      </c>
      <c r="C119">
        <v>32706</v>
      </c>
      <c r="D119">
        <f>VLOOKUP(A119,[4]shown_tract_poor_share2016!$A$2:$C$378,3,0)</f>
        <v>7.9699999999999993E-2</v>
      </c>
      <c r="E119">
        <f>VLOOKUP(A119,[1]shown_tract_teenbirth_rP_gF_pal!$A$2:$C$378,3,0)</f>
        <v>0.1749</v>
      </c>
      <c r="F119">
        <f>VLOOKUP(A119,[2]shown_tract_married_rP_gF_pall!$A$2:$C$378,3,0)</f>
        <v>0.27329999999999999</v>
      </c>
      <c r="G119">
        <f>VLOOKUP(A119,[3]shown_tract_median_rent2016!$A$2:$C$378,3,0)</f>
        <v>2070</v>
      </c>
      <c r="H119">
        <f>VLOOKUP(A119,[5]shown_tract_singleparent_share2!$A$2:$C$378,3,0)</f>
        <v>0.30070000000000002</v>
      </c>
    </row>
    <row r="120" spans="1:8" x14ac:dyDescent="0.2">
      <c r="A120">
        <v>24510261000</v>
      </c>
      <c r="B120" t="s">
        <v>39</v>
      </c>
      <c r="C120">
        <v>26563</v>
      </c>
      <c r="D120">
        <f>VLOOKUP(A120,[4]shown_tract_poor_share2016!$A$2:$C$378,3,0)</f>
        <v>0.1847</v>
      </c>
      <c r="E120">
        <f>VLOOKUP(A120,[1]shown_tract_teenbirth_rP_gF_pal!$A$2:$C$378,3,0)</f>
        <v>0.41589999999999999</v>
      </c>
      <c r="F120">
        <f>VLOOKUP(A120,[2]shown_tract_married_rP_gF_pall!$A$2:$C$378,3,0)</f>
        <v>0.2409</v>
      </c>
      <c r="G120">
        <f>VLOOKUP(A120,[3]shown_tract_median_rent2016!$A$2:$C$378,3,0)</f>
        <v>1090</v>
      </c>
      <c r="H120">
        <f>VLOOKUP(A120,[5]shown_tract_singleparent_share2!$A$2:$C$378,3,0)</f>
        <v>0.31380000000000002</v>
      </c>
    </row>
    <row r="121" spans="1:8" x14ac:dyDescent="0.2">
      <c r="A121">
        <v>24510261100</v>
      </c>
      <c r="B121" t="s">
        <v>17</v>
      </c>
      <c r="C121">
        <v>39841</v>
      </c>
      <c r="D121">
        <f>VLOOKUP(A121,[4]shown_tract_poor_share2016!$A$2:$C$378,3,0)</f>
        <v>0.104</v>
      </c>
      <c r="E121">
        <f>VLOOKUP(A121,[1]shown_tract_teenbirth_rP_gF_pal!$A$2:$C$378,3,0)</f>
        <v>0.29899999999999999</v>
      </c>
      <c r="F121">
        <f>VLOOKUP(A121,[2]shown_tract_married_rP_gF_pall!$A$2:$C$378,3,0)</f>
        <v>0.46839999999999998</v>
      </c>
      <c r="G121">
        <f>VLOOKUP(A121,[3]shown_tract_median_rent2016!$A$2:$C$378,3,0)</f>
        <v>1230</v>
      </c>
      <c r="H121">
        <f>VLOOKUP(A121,[5]shown_tract_singleparent_share2!$A$2:$C$378,3,0)</f>
        <v>0.1079</v>
      </c>
    </row>
    <row r="122" spans="1:8" x14ac:dyDescent="0.2">
      <c r="A122">
        <v>24510270101</v>
      </c>
      <c r="B122" t="s">
        <v>18</v>
      </c>
      <c r="C122">
        <v>39473</v>
      </c>
      <c r="D122">
        <f>VLOOKUP(A122,[4]shown_tract_poor_share2016!$A$2:$C$378,3,0)</f>
        <v>0.28989999999999999</v>
      </c>
      <c r="E122">
        <f>VLOOKUP(A122,[1]shown_tract_teenbirth_rP_gF_pal!$A$2:$C$378,3,0)</f>
        <v>0.255</v>
      </c>
      <c r="F122">
        <f>VLOOKUP(A122,[2]shown_tract_married_rP_gF_pall!$A$2:$C$378,3,0)</f>
        <v>0.34610000000000002</v>
      </c>
      <c r="G122">
        <f>VLOOKUP(A122,[3]shown_tract_median_rent2016!$A$2:$C$378,3,0)</f>
        <v>900</v>
      </c>
      <c r="H122">
        <f>VLOOKUP(A122,[5]shown_tract_singleparent_share2!$A$2:$C$378,3,0)</f>
        <v>0.58330000000000004</v>
      </c>
    </row>
    <row r="123" spans="1:8" x14ac:dyDescent="0.2">
      <c r="A123">
        <v>24510270102</v>
      </c>
      <c r="B123" t="s">
        <v>16</v>
      </c>
      <c r="C123">
        <v>35963</v>
      </c>
      <c r="D123">
        <f>VLOOKUP(A123,[4]shown_tract_poor_share2016!$A$2:$C$378,3,0)</f>
        <v>8.9200000000000002E-2</v>
      </c>
      <c r="E123">
        <f>VLOOKUP(A123,[1]shown_tract_teenbirth_rP_gF_pal!$A$2:$C$378,3,0)</f>
        <v>0.29399999999999998</v>
      </c>
      <c r="F123">
        <f>VLOOKUP(A123,[2]shown_tract_married_rP_gF_pall!$A$2:$C$378,3,0)</f>
        <v>0.30630000000000002</v>
      </c>
      <c r="G123">
        <f>VLOOKUP(A123,[3]shown_tract_median_rent2016!$A$2:$C$378,3,0)</f>
        <v>1573</v>
      </c>
      <c r="H123">
        <f>VLOOKUP(A123,[5]shown_tract_singleparent_share2!$A$2:$C$378,3,0)</f>
        <v>0.46379999999999999</v>
      </c>
    </row>
    <row r="124" spans="1:8" x14ac:dyDescent="0.2">
      <c r="A124">
        <v>24510270200</v>
      </c>
      <c r="B124" t="s">
        <v>24</v>
      </c>
      <c r="C124">
        <v>38140</v>
      </c>
      <c r="D124">
        <f>VLOOKUP(A124,[4]shown_tract_poor_share2016!$A$2:$C$378,3,0)</f>
        <v>9.7100000000000006E-2</v>
      </c>
      <c r="E124">
        <f>VLOOKUP(A124,[1]shown_tract_teenbirth_rP_gF_pal!$A$2:$C$378,3,0)</f>
        <v>0.26</v>
      </c>
      <c r="F124">
        <f>VLOOKUP(A124,[2]shown_tract_married_rP_gF_pall!$A$2:$C$378,3,0)</f>
        <v>0.31619999999999998</v>
      </c>
      <c r="G124">
        <f>VLOOKUP(A124,[3]shown_tract_median_rent2016!$A$2:$C$378,3,0)</f>
        <v>980</v>
      </c>
      <c r="H124">
        <f>VLOOKUP(A124,[5]shown_tract_singleparent_share2!$A$2:$C$378,3,0)</f>
        <v>0.33329999999999999</v>
      </c>
    </row>
    <row r="125" spans="1:8" x14ac:dyDescent="0.2">
      <c r="A125">
        <v>24510270301</v>
      </c>
      <c r="B125" t="s">
        <v>24</v>
      </c>
      <c r="C125">
        <v>36213</v>
      </c>
      <c r="D125">
        <f>VLOOKUP(A125,[4]shown_tract_poor_share2016!$A$2:$C$378,3,0)</f>
        <v>0.11260000000000001</v>
      </c>
      <c r="E125">
        <f>VLOOKUP(A125,[1]shown_tract_teenbirth_rP_gF_pal!$A$2:$C$378,3,0)</f>
        <v>0.21759999999999999</v>
      </c>
      <c r="F125">
        <f>VLOOKUP(A125,[2]shown_tract_married_rP_gF_pall!$A$2:$C$378,3,0)</f>
        <v>0.29120000000000001</v>
      </c>
      <c r="G125">
        <f>VLOOKUP(A125,[3]shown_tract_median_rent2016!$A$2:$C$378,3,0)</f>
        <v>1169</v>
      </c>
      <c r="H125">
        <f>VLOOKUP(A125,[5]shown_tract_singleparent_share2!$A$2:$C$378,3,0)</f>
        <v>0.31850000000000001</v>
      </c>
    </row>
    <row r="126" spans="1:8" x14ac:dyDescent="0.2">
      <c r="A126">
        <v>24510270302</v>
      </c>
      <c r="B126" t="s">
        <v>16</v>
      </c>
      <c r="C126">
        <v>40535</v>
      </c>
      <c r="D126">
        <f>VLOOKUP(A126,[4]shown_tract_poor_share2016!$A$2:$C$378,3,0)</f>
        <v>0.12180000000000001</v>
      </c>
      <c r="E126">
        <f>VLOOKUP(A126,[1]shown_tract_teenbirth_rP_gF_pal!$A$2:$C$378,3,0)</f>
        <v>0.2016</v>
      </c>
      <c r="F126">
        <f>VLOOKUP(A126,[2]shown_tract_married_rP_gF_pall!$A$2:$C$378,3,0)</f>
        <v>0.2777</v>
      </c>
      <c r="G126">
        <f>VLOOKUP(A126,[3]shown_tract_median_rent2016!$A$2:$C$378,3,0)</f>
        <v>881</v>
      </c>
      <c r="H126">
        <f>VLOOKUP(A126,[5]shown_tract_singleparent_share2!$A$2:$C$378,3,0)</f>
        <v>0.25359999999999999</v>
      </c>
    </row>
    <row r="127" spans="1:8" x14ac:dyDescent="0.2">
      <c r="A127">
        <v>24510270401</v>
      </c>
      <c r="B127" t="s">
        <v>14</v>
      </c>
      <c r="C127">
        <v>34074</v>
      </c>
      <c r="D127">
        <f>VLOOKUP(A127,[4]shown_tract_poor_share2016!$A$2:$C$378,3,0)</f>
        <v>0.14779999999999999</v>
      </c>
      <c r="E127">
        <f>VLOOKUP(A127,[1]shown_tract_teenbirth_rP_gF_pal!$A$2:$C$378,3,0)</f>
        <v>0.29749999999999999</v>
      </c>
      <c r="F127">
        <f>VLOOKUP(A127,[2]shown_tract_married_rP_gF_pall!$A$2:$C$378,3,0)</f>
        <v>0.32969999999999999</v>
      </c>
      <c r="G127">
        <f>VLOOKUP(A127,[3]shown_tract_median_rent2016!$A$2:$C$378,3,0)</f>
        <v>942</v>
      </c>
      <c r="H127">
        <f>VLOOKUP(A127,[5]shown_tract_singleparent_share2!$A$2:$C$378,3,0)</f>
        <v>0.7127</v>
      </c>
    </row>
    <row r="128" spans="1:8" x14ac:dyDescent="0.2">
      <c r="A128">
        <v>24510270402</v>
      </c>
      <c r="B128" t="s">
        <v>14</v>
      </c>
      <c r="C128">
        <v>42492</v>
      </c>
      <c r="D128">
        <f>VLOOKUP(A128,[4]shown_tract_poor_share2016!$A$2:$C$378,3,0)</f>
        <v>9.7600000000000006E-2</v>
      </c>
      <c r="E128">
        <f>VLOOKUP(A128,[1]shown_tract_teenbirth_rP_gF_pal!$A$2:$C$378,3,0)</f>
        <v>0.22689999999999999</v>
      </c>
      <c r="F128">
        <f>VLOOKUP(A128,[2]shown_tract_married_rP_gF_pall!$A$2:$C$378,3,0)</f>
        <v>0.41610000000000003</v>
      </c>
      <c r="G128">
        <f>VLOOKUP(A128,[3]shown_tract_median_rent2016!$A$2:$C$378,3,0)</f>
        <v>1006</v>
      </c>
      <c r="H128">
        <f>VLOOKUP(A128,[5]shown_tract_singleparent_share2!$A$2:$C$378,3,0)</f>
        <v>0.18809999999999999</v>
      </c>
    </row>
    <row r="129" spans="1:8" x14ac:dyDescent="0.2">
      <c r="A129">
        <v>24510270501</v>
      </c>
      <c r="B129" t="s">
        <v>12</v>
      </c>
      <c r="C129">
        <v>47909</v>
      </c>
      <c r="D129">
        <f>VLOOKUP(A129,[4]shown_tract_poor_share2016!$A$2:$C$378,3,0)</f>
        <v>6.7799999999999999E-2</v>
      </c>
      <c r="E129">
        <f>VLOOKUP(A129,[1]shown_tract_teenbirth_rP_gF_pal!$A$2:$C$378,3,0)</f>
        <v>0.16270000000000001</v>
      </c>
      <c r="F129">
        <f>VLOOKUP(A129,[2]shown_tract_married_rP_gF_pall!$A$2:$C$378,3,0)</f>
        <v>0.56330000000000002</v>
      </c>
      <c r="G129">
        <f>VLOOKUP(A129,[3]shown_tract_median_rent2016!$A$2:$C$378,3,0)</f>
        <v>880</v>
      </c>
      <c r="H129">
        <f>VLOOKUP(A129,[5]shown_tract_singleparent_share2!$A$2:$C$378,3,0)</f>
        <v>0.14630000000000001</v>
      </c>
    </row>
    <row r="130" spans="1:8" x14ac:dyDescent="0.2">
      <c r="A130">
        <v>24510270502</v>
      </c>
      <c r="B130" t="s">
        <v>10</v>
      </c>
      <c r="C130">
        <v>41953</v>
      </c>
      <c r="D130">
        <f>VLOOKUP(A130,[4]shown_tract_poor_share2016!$A$2:$C$378,3,0)</f>
        <v>0.1341</v>
      </c>
      <c r="E130">
        <f>VLOOKUP(A130,[1]shown_tract_teenbirth_rP_gF_pal!$A$2:$C$378,3,0)</f>
        <v>0.16789999999999999</v>
      </c>
      <c r="F130">
        <f>VLOOKUP(A130,[2]shown_tract_married_rP_gF_pall!$A$2:$C$378,3,0)</f>
        <v>0.35799999999999998</v>
      </c>
      <c r="G130">
        <f>VLOOKUP(A130,[3]shown_tract_median_rent2016!$A$2:$C$378,3,0)</f>
        <v>876</v>
      </c>
      <c r="H130">
        <f>VLOOKUP(A130,[5]shown_tract_singleparent_share2!$A$2:$C$378,3,0)</f>
        <v>0.44440000000000002</v>
      </c>
    </row>
    <row r="131" spans="1:8" x14ac:dyDescent="0.2">
      <c r="A131">
        <v>24510270600</v>
      </c>
      <c r="B131" t="s">
        <v>20</v>
      </c>
      <c r="C131">
        <v>39237</v>
      </c>
      <c r="D131">
        <f>VLOOKUP(A131,[4]shown_tract_poor_share2016!$A$2:$C$378,3,0)</f>
        <v>0.13250000000000001</v>
      </c>
      <c r="E131">
        <f>VLOOKUP(A131,[1]shown_tract_teenbirth_rP_gF_pal!$A$2:$C$378,3,0)</f>
        <v>0.1883</v>
      </c>
      <c r="F131">
        <f>VLOOKUP(A131,[2]shown_tract_married_rP_gF_pall!$A$2:$C$378,3,0)</f>
        <v>0.33939999999999998</v>
      </c>
      <c r="G131">
        <f>VLOOKUP(A131,[3]shown_tract_median_rent2016!$A$2:$C$378,3,0)</f>
        <v>853</v>
      </c>
      <c r="H131">
        <f>VLOOKUP(A131,[5]shown_tract_singleparent_share2!$A$2:$C$378,3,0)</f>
        <v>0.37030000000000002</v>
      </c>
    </row>
    <row r="132" spans="1:8" x14ac:dyDescent="0.2">
      <c r="A132">
        <v>24510270701</v>
      </c>
      <c r="B132" t="s">
        <v>20</v>
      </c>
      <c r="C132">
        <v>23004</v>
      </c>
      <c r="D132">
        <f>VLOOKUP(A132,[4]shown_tract_poor_share2016!$A$2:$C$378,3,0)</f>
        <v>0.2417</v>
      </c>
      <c r="E132">
        <f>VLOOKUP(A132,[1]shown_tract_teenbirth_rP_gF_pal!$A$2:$C$378,3,0)</f>
        <v>0.47520000000000001</v>
      </c>
      <c r="F132">
        <f>VLOOKUP(A132,[2]shown_tract_married_rP_gF_pall!$A$2:$C$378,3,0)</f>
        <v>0.14649999999999999</v>
      </c>
      <c r="G132">
        <f>VLOOKUP(A132,[3]shown_tract_median_rent2016!$A$2:$C$378,3,0)</f>
        <v>972</v>
      </c>
      <c r="H132">
        <f>VLOOKUP(A132,[5]shown_tract_singleparent_share2!$A$2:$C$378,3,0)</f>
        <v>0.77839999999999998</v>
      </c>
    </row>
    <row r="133" spans="1:8" x14ac:dyDescent="0.2">
      <c r="A133">
        <v>24510270702</v>
      </c>
      <c r="B133" t="s">
        <v>20</v>
      </c>
      <c r="C133">
        <v>34637</v>
      </c>
      <c r="D133">
        <f>VLOOKUP(A133,[4]shown_tract_poor_share2016!$A$2:$C$378,3,0)</f>
        <v>0.1278</v>
      </c>
      <c r="E133">
        <f>VLOOKUP(A133,[1]shown_tract_teenbirth_rP_gF_pal!$A$2:$C$378,3,0)</f>
        <v>0.3024</v>
      </c>
      <c r="F133">
        <f>VLOOKUP(A133,[2]shown_tract_married_rP_gF_pall!$A$2:$C$378,3,0)</f>
        <v>0.30759999999999998</v>
      </c>
      <c r="G133">
        <f>VLOOKUP(A133,[3]shown_tract_median_rent2016!$A$2:$C$378,3,0)</f>
        <v>940</v>
      </c>
      <c r="H133">
        <f>VLOOKUP(A133,[5]shown_tract_singleparent_share2!$A$2:$C$378,3,0)</f>
        <v>0.92789999999999995</v>
      </c>
    </row>
    <row r="134" spans="1:8" x14ac:dyDescent="0.2">
      <c r="A134">
        <v>24510270703</v>
      </c>
      <c r="B134" t="s">
        <v>10</v>
      </c>
      <c r="C134">
        <v>49708</v>
      </c>
      <c r="D134">
        <f>VLOOKUP(A134,[4]shown_tract_poor_share2016!$A$2:$C$378,3,0)</f>
        <v>8.1900000000000001E-2</v>
      </c>
      <c r="E134">
        <f>VLOOKUP(A134,[1]shown_tract_teenbirth_rP_gF_pal!$A$2:$C$378,3,0)</f>
        <v>0.125</v>
      </c>
      <c r="F134">
        <f>VLOOKUP(A134,[2]shown_tract_married_rP_gF_pall!$A$2:$C$378,3,0)</f>
        <v>0.44409999999999999</v>
      </c>
      <c r="G134">
        <f>VLOOKUP(A134,[3]shown_tract_median_rent2016!$A$2:$C$378,3,0)</f>
        <v>945</v>
      </c>
      <c r="H134">
        <f>VLOOKUP(A134,[5]shown_tract_singleparent_share2!$A$2:$C$378,3,0)</f>
        <v>7.0699999999999999E-2</v>
      </c>
    </row>
    <row r="135" spans="1:8" x14ac:dyDescent="0.2">
      <c r="A135">
        <v>24510270801</v>
      </c>
      <c r="B135" t="s">
        <v>44</v>
      </c>
      <c r="C135">
        <v>29990</v>
      </c>
      <c r="D135">
        <f>VLOOKUP(A135,[4]shown_tract_poor_share2016!$A$2:$C$378,3,0)</f>
        <v>0.188</v>
      </c>
      <c r="E135">
        <f>VLOOKUP(A135,[1]shown_tract_teenbirth_rP_gF_pal!$A$2:$C$378,3,0)</f>
        <v>0.3029</v>
      </c>
      <c r="F135">
        <f>VLOOKUP(A135,[2]shown_tract_married_rP_gF_pall!$A$2:$C$378,3,0)</f>
        <v>0.20649999999999999</v>
      </c>
      <c r="G135">
        <f>VLOOKUP(A135,[3]shown_tract_median_rent2016!$A$2:$C$378,3,0)</f>
        <v>1231</v>
      </c>
      <c r="H135">
        <f>VLOOKUP(A135,[5]shown_tract_singleparent_share2!$A$2:$C$378,3,0)</f>
        <v>0.60119999999999996</v>
      </c>
    </row>
    <row r="136" spans="1:8" x14ac:dyDescent="0.2">
      <c r="A136">
        <v>24510270802</v>
      </c>
      <c r="B136" t="s">
        <v>38</v>
      </c>
      <c r="C136">
        <v>31168</v>
      </c>
      <c r="D136">
        <f>VLOOKUP(A136,[4]shown_tract_poor_share2016!$A$2:$C$378,3,0)</f>
        <v>0.15909999999999999</v>
      </c>
      <c r="E136">
        <f>VLOOKUP(A136,[1]shown_tract_teenbirth_rP_gF_pal!$A$2:$C$378,3,0)</f>
        <v>0.39050000000000001</v>
      </c>
      <c r="F136">
        <f>VLOOKUP(A136,[2]shown_tract_married_rP_gF_pall!$A$2:$C$378,3,0)</f>
        <v>0.1855</v>
      </c>
      <c r="G136">
        <f>VLOOKUP(A136,[3]shown_tract_median_rent2016!$A$2:$C$378,3,0)</f>
        <v>896</v>
      </c>
      <c r="H136">
        <f>VLOOKUP(A136,[5]shown_tract_singleparent_share2!$A$2:$C$378,3,0)</f>
        <v>0.625</v>
      </c>
    </row>
    <row r="137" spans="1:8" x14ac:dyDescent="0.2">
      <c r="A137">
        <v>24510270803</v>
      </c>
      <c r="B137" t="s">
        <v>41</v>
      </c>
      <c r="C137">
        <v>30166</v>
      </c>
      <c r="D137">
        <f>VLOOKUP(A137,[4]shown_tract_poor_share2016!$A$2:$C$378,3,0)</f>
        <v>0.14099999999999999</v>
      </c>
      <c r="E137">
        <f>VLOOKUP(A137,[1]shown_tract_teenbirth_rP_gF_pal!$A$2:$C$378,3,0)</f>
        <v>0.36890000000000001</v>
      </c>
      <c r="F137">
        <f>VLOOKUP(A137,[2]shown_tract_married_rP_gF_pall!$A$2:$C$378,3,0)</f>
        <v>0.2029</v>
      </c>
      <c r="G137">
        <f>VLOOKUP(A137,[3]shown_tract_median_rent2016!$A$2:$C$378,3,0)</f>
        <v>1065</v>
      </c>
      <c r="H137">
        <f>VLOOKUP(A137,[5]shown_tract_singleparent_share2!$A$2:$C$378,3,0)</f>
        <v>0.48859999999999998</v>
      </c>
    </row>
    <row r="138" spans="1:8" x14ac:dyDescent="0.2">
      <c r="A138">
        <v>24510270804</v>
      </c>
      <c r="B138" t="s">
        <v>15</v>
      </c>
      <c r="C138">
        <v>41890</v>
      </c>
      <c r="D138">
        <f>VLOOKUP(A138,[4]shown_tract_poor_share2016!$A$2:$C$378,3,0)</f>
        <v>0.18390000000000001</v>
      </c>
      <c r="E138">
        <f>VLOOKUP(A138,[1]shown_tract_teenbirth_rP_gF_pal!$A$2:$C$378,3,0)</f>
        <v>0.24329999999999999</v>
      </c>
      <c r="F138">
        <f>VLOOKUP(A138,[2]shown_tract_married_rP_gF_pall!$A$2:$C$378,3,0)</f>
        <v>0.40029999999999999</v>
      </c>
      <c r="G138">
        <f>VLOOKUP(A138,[3]shown_tract_median_rent2016!$A$2:$C$378,3,0)</f>
        <v>956</v>
      </c>
      <c r="H138">
        <f>VLOOKUP(A138,[5]shown_tract_singleparent_share2!$A$2:$C$378,3,0)</f>
        <v>0.45450000000000002</v>
      </c>
    </row>
    <row r="139" spans="1:8" x14ac:dyDescent="0.2">
      <c r="A139">
        <v>24510270805</v>
      </c>
      <c r="B139" t="s">
        <v>48</v>
      </c>
      <c r="C139">
        <v>28019</v>
      </c>
      <c r="D139">
        <f>VLOOKUP(A139,[4]shown_tract_poor_share2016!$A$2:$C$378,3,0)</f>
        <v>0.11260000000000001</v>
      </c>
      <c r="E139">
        <f>VLOOKUP(A139,[1]shown_tract_teenbirth_rP_gF_pal!$A$2:$C$378,3,0)</f>
        <v>0.37730000000000002</v>
      </c>
      <c r="F139">
        <f>VLOOKUP(A139,[2]shown_tract_married_rP_gF_pall!$A$2:$C$378,3,0)</f>
        <v>0.14990000000000001</v>
      </c>
      <c r="G139">
        <f>VLOOKUP(A139,[3]shown_tract_median_rent2016!$A$2:$C$378,3,0)</f>
        <v>933</v>
      </c>
      <c r="H139">
        <f>VLOOKUP(A139,[5]shown_tract_singleparent_share2!$A$2:$C$378,3,0)</f>
        <v>0.69189999999999996</v>
      </c>
    </row>
    <row r="140" spans="1:8" x14ac:dyDescent="0.2">
      <c r="A140">
        <v>24510270901</v>
      </c>
      <c r="B140" t="s">
        <v>47</v>
      </c>
      <c r="C140">
        <v>28134</v>
      </c>
      <c r="D140">
        <f>VLOOKUP(A140,[4]shown_tract_poor_share2016!$A$2:$C$378,3,0)</f>
        <v>0.1056</v>
      </c>
      <c r="E140">
        <f>VLOOKUP(A140,[1]shown_tract_teenbirth_rP_gF_pal!$A$2:$C$378,3,0)</f>
        <v>0.44019999999999998</v>
      </c>
      <c r="F140">
        <f>VLOOKUP(A140,[2]shown_tract_married_rP_gF_pall!$A$2:$C$378,3,0)</f>
        <v>0.12189999999999999</v>
      </c>
      <c r="G140">
        <f>VLOOKUP(A140,[3]shown_tract_median_rent2016!$A$2:$C$378,3,0)</f>
        <v>968</v>
      </c>
      <c r="H140">
        <f>VLOOKUP(A140,[5]shown_tract_singleparent_share2!$A$2:$C$378,3,0)</f>
        <v>0.45040000000000002</v>
      </c>
    </row>
    <row r="141" spans="1:8" x14ac:dyDescent="0.2">
      <c r="A141">
        <v>24510270902</v>
      </c>
      <c r="B141" t="s">
        <v>45</v>
      </c>
      <c r="C141">
        <v>29687</v>
      </c>
      <c r="D141">
        <f>VLOOKUP(A141,[4]shown_tract_poor_share2016!$A$2:$C$378,3,0)</f>
        <v>8.9899999999999994E-2</v>
      </c>
      <c r="E141">
        <f>VLOOKUP(A141,[1]shown_tract_teenbirth_rP_gF_pal!$A$2:$C$378,3,0)</f>
        <v>0.3614</v>
      </c>
      <c r="F141">
        <f>VLOOKUP(A141,[2]shown_tract_married_rP_gF_pall!$A$2:$C$378,3,0)</f>
        <v>0.17199999999999999</v>
      </c>
      <c r="G141">
        <f>VLOOKUP(A141,[3]shown_tract_median_rent2016!$A$2:$C$378,3,0)</f>
        <v>1360</v>
      </c>
      <c r="H141">
        <f>VLOOKUP(A141,[5]shown_tract_singleparent_share2!$A$2:$C$378,3,0)</f>
        <v>0.75660000000000005</v>
      </c>
    </row>
    <row r="142" spans="1:8" x14ac:dyDescent="0.2">
      <c r="A142">
        <v>24510270903</v>
      </c>
      <c r="B142" t="s">
        <v>35</v>
      </c>
      <c r="C142">
        <v>32121</v>
      </c>
      <c r="D142">
        <f>VLOOKUP(A142,[4]shown_tract_poor_share2016!$A$2:$C$378,3,0)</f>
        <v>0.19550000000000001</v>
      </c>
      <c r="E142">
        <f>VLOOKUP(A142,[1]shown_tract_teenbirth_rP_gF_pal!$A$2:$C$378,3,0)</f>
        <v>0.34520000000000001</v>
      </c>
      <c r="F142">
        <f>VLOOKUP(A142,[2]shown_tract_married_rP_gF_pall!$A$2:$C$378,3,0)</f>
        <v>0.21629999999999999</v>
      </c>
      <c r="G142">
        <f>VLOOKUP(A142,[3]shown_tract_median_rent2016!$A$2:$C$378,3,0)</f>
        <v>935</v>
      </c>
      <c r="H142">
        <f>VLOOKUP(A142,[5]shown_tract_singleparent_share2!$A$2:$C$378,3,0)</f>
        <v>0.69789999999999996</v>
      </c>
    </row>
    <row r="143" spans="1:8" x14ac:dyDescent="0.2">
      <c r="A143">
        <v>24510271001</v>
      </c>
      <c r="B143" t="s">
        <v>9</v>
      </c>
      <c r="C143">
        <v>20760</v>
      </c>
      <c r="D143">
        <f>VLOOKUP(A143,[4]shown_tract_poor_share2016!$A$2:$C$378,3,0)</f>
        <v>0.2046</v>
      </c>
      <c r="E143">
        <f>VLOOKUP(A143,[1]shown_tract_teenbirth_rP_gF_pal!$A$2:$C$378,3,0)</f>
        <v>0.53269999999999995</v>
      </c>
      <c r="F143">
        <f>VLOOKUP(A143,[2]shown_tract_married_rP_gF_pall!$A$2:$C$378,3,0)</f>
        <v>0.1085</v>
      </c>
      <c r="G143">
        <f>VLOOKUP(A143,[3]shown_tract_median_rent2016!$A$2:$C$378,3,0)</f>
        <v>859</v>
      </c>
      <c r="H143">
        <f>VLOOKUP(A143,[5]shown_tract_singleparent_share2!$A$2:$C$378,3,0)</f>
        <v>0.85909999999999997</v>
      </c>
    </row>
    <row r="144" spans="1:8" x14ac:dyDescent="0.2">
      <c r="A144">
        <v>24510271002</v>
      </c>
      <c r="B144" t="s">
        <v>62</v>
      </c>
      <c r="C144">
        <v>24373</v>
      </c>
      <c r="D144">
        <f>VLOOKUP(A144,[4]shown_tract_poor_share2016!$A$2:$C$378,3,0)</f>
        <v>0.35759999999999997</v>
      </c>
      <c r="E144">
        <f>VLOOKUP(A144,[1]shown_tract_teenbirth_rP_gF_pal!$A$2:$C$378,3,0)</f>
        <v>0.48</v>
      </c>
      <c r="F144">
        <f>VLOOKUP(A144,[2]shown_tract_married_rP_gF_pall!$A$2:$C$378,3,0)</f>
        <v>0.11269999999999999</v>
      </c>
      <c r="G144">
        <f>VLOOKUP(A144,[3]shown_tract_median_rent2016!$A$2:$C$378,3,0)</f>
        <v>881</v>
      </c>
      <c r="H144">
        <f>VLOOKUP(A144,[5]shown_tract_singleparent_share2!$A$2:$C$378,3,0)</f>
        <v>0.87060000000000004</v>
      </c>
    </row>
    <row r="145" spans="1:8" x14ac:dyDescent="0.2">
      <c r="A145">
        <v>24510271101</v>
      </c>
      <c r="B145" t="s">
        <v>19</v>
      </c>
      <c r="C145">
        <v>39299</v>
      </c>
      <c r="D145">
        <f>VLOOKUP(A145,[4]shown_tract_poor_share2016!$A$2:$C$378,3,0)</f>
        <v>0.27389999999999998</v>
      </c>
      <c r="E145">
        <f>VLOOKUP(A145,[1]shown_tract_teenbirth_rP_gF_pal!$A$2:$C$378,3,0)</f>
        <v>0.1457</v>
      </c>
      <c r="F145">
        <f>VLOOKUP(A145,[2]shown_tract_married_rP_gF_pall!$A$2:$C$378,3,0)</f>
        <v>0.38390000000000002</v>
      </c>
      <c r="G145">
        <f>VLOOKUP(A145,[3]shown_tract_median_rent2016!$A$2:$C$378,3,0)</f>
        <v>847</v>
      </c>
      <c r="H145">
        <f>VLOOKUP(A145,[5]shown_tract_singleparent_share2!$A$2:$C$378,3,0)</f>
        <v>0.36299999999999999</v>
      </c>
    </row>
    <row r="146" spans="1:8" x14ac:dyDescent="0.2">
      <c r="A146">
        <v>24510271102</v>
      </c>
      <c r="B146" t="s">
        <v>6</v>
      </c>
      <c r="C146">
        <v>62714</v>
      </c>
      <c r="D146">
        <f>VLOOKUP(A146,[4]shown_tract_poor_share2016!$A$2:$C$378,3,0)</f>
        <v>2.9700000000000001E-2</v>
      </c>
      <c r="E146">
        <f>VLOOKUP(A146,[1]shown_tract_teenbirth_rP_gF_pal!$A$2:$C$378,3,0)</f>
        <v>9.3299999999999994E-2</v>
      </c>
      <c r="F146">
        <f>VLOOKUP(A146,[2]shown_tract_married_rP_gF_pall!$A$2:$C$378,3,0)</f>
        <v>0.57050000000000001</v>
      </c>
      <c r="G146" t="e">
        <f>VLOOKUP(A146,[3]shown_tract_median_rent2016!$A$2:$C$378,3,0)</f>
        <v>#REF!</v>
      </c>
      <c r="H146">
        <f>VLOOKUP(A146,[5]shown_tract_singleparent_share2!$A$2:$C$378,3,0)</f>
        <v>7.2400000000000006E-2</v>
      </c>
    </row>
    <row r="147" spans="1:8" x14ac:dyDescent="0.2">
      <c r="A147">
        <v>24510271200</v>
      </c>
      <c r="B147" t="s">
        <v>5</v>
      </c>
      <c r="C147">
        <v>66907</v>
      </c>
      <c r="D147">
        <f>VLOOKUP(A147,[4]shown_tract_poor_share2016!$A$2:$C$378,3,0)</f>
        <v>6.2100000000000002E-2</v>
      </c>
      <c r="E147">
        <f>VLOOKUP(A147,[1]shown_tract_teenbirth_rP_gF_pal!$A$2:$C$378,3,0)</f>
        <v>2.5100000000000001E-2</v>
      </c>
      <c r="F147">
        <f>VLOOKUP(A147,[2]shown_tract_married_rP_gF_pall!$A$2:$C$378,3,0)</f>
        <v>0.55079999999999996</v>
      </c>
      <c r="G147">
        <f>VLOOKUP(A147,[3]shown_tract_median_rent2016!$A$2:$C$378,3,0)</f>
        <v>980</v>
      </c>
      <c r="H147">
        <f>VLOOKUP(A147,[5]shown_tract_singleparent_share2!$A$2:$C$378,3,0)</f>
        <v>9.8900000000000002E-2</v>
      </c>
    </row>
    <row r="148" spans="1:8" x14ac:dyDescent="0.2">
      <c r="A148">
        <v>24510271300</v>
      </c>
      <c r="B148" t="s">
        <v>4</v>
      </c>
      <c r="C148">
        <v>68340</v>
      </c>
      <c r="D148">
        <f>VLOOKUP(A148,[4]shown_tract_poor_share2016!$A$2:$C$378,3,0)</f>
        <v>6.2700000000000006E-2</v>
      </c>
      <c r="E148">
        <f>VLOOKUP(A148,[1]shown_tract_teenbirth_rP_gF_pal!$A$2:$C$378,3,0)</f>
        <v>1.0800000000000001E-2</v>
      </c>
      <c r="F148">
        <f>VLOOKUP(A148,[2]shown_tract_married_rP_gF_pall!$A$2:$C$378,3,0)</f>
        <v>0.62260000000000004</v>
      </c>
      <c r="G148">
        <f>VLOOKUP(A148,[3]shown_tract_median_rent2016!$A$2:$C$378,3,0)</f>
        <v>1248</v>
      </c>
      <c r="H148">
        <f>VLOOKUP(A148,[5]shown_tract_singleparent_share2!$A$2:$C$378,3,0)</f>
        <v>9.7900000000000001E-2</v>
      </c>
    </row>
    <row r="149" spans="1:8" x14ac:dyDescent="0.2">
      <c r="A149">
        <v>24510271400</v>
      </c>
      <c r="B149" t="s">
        <v>2</v>
      </c>
      <c r="C149">
        <v>71859</v>
      </c>
      <c r="D149">
        <f>VLOOKUP(A149,[4]shown_tract_poor_share2016!$A$2:$C$378,3,0)</f>
        <v>9.7500000000000003E-2</v>
      </c>
      <c r="E149">
        <f>VLOOKUP(A149,[1]shown_tract_teenbirth_rP_gF_pal!$A$2:$C$378,3,0)</f>
        <v>1.7899999999999999E-2</v>
      </c>
      <c r="F149">
        <f>VLOOKUP(A149,[2]shown_tract_married_rP_gF_pall!$A$2:$C$378,3,0)</f>
        <v>0.61580000000000001</v>
      </c>
      <c r="G149">
        <f>VLOOKUP(A149,[3]shown_tract_median_rent2016!$A$2:$C$378,3,0)</f>
        <v>1304</v>
      </c>
      <c r="H149">
        <f>VLOOKUP(A149,[5]shown_tract_singleparent_share2!$A$2:$C$378,3,0)</f>
        <v>0.2205</v>
      </c>
    </row>
    <row r="150" spans="1:8" x14ac:dyDescent="0.2">
      <c r="A150">
        <v>24510271501</v>
      </c>
      <c r="B150" t="s">
        <v>3</v>
      </c>
      <c r="C150">
        <v>69634</v>
      </c>
      <c r="D150">
        <f>VLOOKUP(A150,[4]shown_tract_poor_share2016!$A$2:$C$378,3,0)</f>
        <v>7.9899999999999999E-2</v>
      </c>
      <c r="E150">
        <f>VLOOKUP(A150,[1]shown_tract_teenbirth_rP_gF_pal!$A$2:$C$378,3,0)</f>
        <v>9.7999999999999997E-3</v>
      </c>
      <c r="F150">
        <f>VLOOKUP(A150,[2]shown_tract_married_rP_gF_pall!$A$2:$C$378,3,0)</f>
        <v>0.53690000000000004</v>
      </c>
      <c r="G150">
        <f>VLOOKUP(A150,[3]shown_tract_median_rent2016!$A$2:$C$378,3,0)</f>
        <v>1212</v>
      </c>
      <c r="H150">
        <f>VLOOKUP(A150,[5]shown_tract_singleparent_share2!$A$2:$C$378,3,0)</f>
        <v>0.1426</v>
      </c>
    </row>
    <row r="151" spans="1:8" x14ac:dyDescent="0.2">
      <c r="A151">
        <v>24510271503</v>
      </c>
      <c r="B151" t="s">
        <v>13</v>
      </c>
      <c r="C151">
        <v>46668</v>
      </c>
      <c r="D151">
        <f>VLOOKUP(A151,[4]shown_tract_poor_share2016!$A$2:$C$378,3,0)</f>
        <v>4.5600000000000002E-2</v>
      </c>
      <c r="E151">
        <f>VLOOKUP(A151,[1]shown_tract_teenbirth_rP_gF_pal!$A$2:$C$378,3,0)</f>
        <v>0.41039999999999999</v>
      </c>
      <c r="F151">
        <f>VLOOKUP(A151,[2]shown_tract_married_rP_gF_pall!$A$2:$C$378,3,0)</f>
        <v>0.3296</v>
      </c>
      <c r="G151">
        <f>VLOOKUP(A151,[3]shown_tract_median_rent2016!$A$2:$C$378,3,0)</f>
        <v>1289</v>
      </c>
      <c r="H151">
        <f>VLOOKUP(A151,[5]shown_tract_singleparent_share2!$A$2:$C$378,3,0)</f>
        <v>0.31030000000000002</v>
      </c>
    </row>
    <row r="152" spans="1:8" x14ac:dyDescent="0.2">
      <c r="A152">
        <v>24510271600</v>
      </c>
      <c r="B152" t="s">
        <v>85</v>
      </c>
      <c r="C152">
        <v>21588</v>
      </c>
      <c r="D152">
        <f>VLOOKUP(A152,[4]shown_tract_poor_share2016!$A$2:$C$378,3,0)</f>
        <v>0.34439999999999998</v>
      </c>
      <c r="E152">
        <f>VLOOKUP(A152,[1]shown_tract_teenbirth_rP_gF_pal!$A$2:$C$378,3,0)</f>
        <v>0.50329999999999997</v>
      </c>
      <c r="F152">
        <f>VLOOKUP(A152,[2]shown_tract_married_rP_gF_pall!$A$2:$C$378,3,0)</f>
        <v>7.8700000000000006E-2</v>
      </c>
      <c r="G152">
        <f>VLOOKUP(A152,[3]shown_tract_median_rent2016!$A$2:$C$378,3,0)</f>
        <v>932</v>
      </c>
      <c r="H152">
        <f>VLOOKUP(A152,[5]shown_tract_singleparent_share2!$A$2:$C$378,3,0)</f>
        <v>0.75780000000000003</v>
      </c>
    </row>
    <row r="153" spans="1:8" x14ac:dyDescent="0.2">
      <c r="A153">
        <v>24510271700</v>
      </c>
      <c r="B153" t="s">
        <v>67</v>
      </c>
      <c r="C153">
        <v>23612</v>
      </c>
      <c r="D153">
        <f>VLOOKUP(A153,[4]shown_tract_poor_share2016!$A$2:$C$378,3,0)</f>
        <v>0.187</v>
      </c>
      <c r="E153">
        <f>VLOOKUP(A153,[1]shown_tract_teenbirth_rP_gF_pal!$A$2:$C$378,3,0)</f>
        <v>0.44550000000000001</v>
      </c>
      <c r="F153">
        <f>VLOOKUP(A153,[2]shown_tract_married_rP_gF_pall!$A$2:$C$378,3,0)</f>
        <v>0.1019</v>
      </c>
      <c r="G153">
        <f>VLOOKUP(A153,[3]shown_tract_median_rent2016!$A$2:$C$378,3,0)</f>
        <v>987</v>
      </c>
      <c r="H153">
        <f>VLOOKUP(A153,[5]shown_tract_singleparent_share2!$A$2:$C$378,3,0)</f>
        <v>0.49059999999999998</v>
      </c>
    </row>
    <row r="154" spans="1:8" x14ac:dyDescent="0.2">
      <c r="A154">
        <v>24510271801</v>
      </c>
      <c r="B154" t="s">
        <v>74</v>
      </c>
      <c r="C154">
        <v>22834</v>
      </c>
      <c r="D154">
        <f>VLOOKUP(A154,[4]shown_tract_poor_share2016!$A$2:$C$378,3,0)</f>
        <v>0.33710000000000001</v>
      </c>
      <c r="E154">
        <f>VLOOKUP(A154,[1]shown_tract_teenbirth_rP_gF_pal!$A$2:$C$378,3,0)</f>
        <v>0.50460000000000005</v>
      </c>
      <c r="F154">
        <f>VLOOKUP(A154,[2]shown_tract_married_rP_gF_pall!$A$2:$C$378,3,0)</f>
        <v>8.8900000000000007E-2</v>
      </c>
      <c r="G154">
        <f>VLOOKUP(A154,[3]shown_tract_median_rent2016!$A$2:$C$378,3,0)</f>
        <v>642</v>
      </c>
      <c r="H154">
        <f>VLOOKUP(A154,[5]shown_tract_singleparent_share2!$A$2:$C$378,3,0)</f>
        <v>0.83250000000000002</v>
      </c>
    </row>
    <row r="155" spans="1:8" x14ac:dyDescent="0.2">
      <c r="A155">
        <v>24510271802</v>
      </c>
      <c r="B155" t="s">
        <v>90</v>
      </c>
      <c r="C155">
        <v>20829</v>
      </c>
      <c r="D155">
        <f>VLOOKUP(A155,[4]shown_tract_poor_share2016!$A$2:$C$378,3,0)</f>
        <v>0.3483</v>
      </c>
      <c r="E155">
        <f>VLOOKUP(A155,[1]shown_tract_teenbirth_rP_gF_pal!$A$2:$C$378,3,0)</f>
        <v>0.59660000000000002</v>
      </c>
      <c r="F155">
        <f>VLOOKUP(A155,[2]shown_tract_married_rP_gF_pall!$A$2:$C$378,3,0)</f>
        <v>9.9299999999999999E-2</v>
      </c>
      <c r="G155">
        <f>VLOOKUP(A155,[3]shown_tract_median_rent2016!$A$2:$C$378,3,0)</f>
        <v>950</v>
      </c>
      <c r="H155">
        <f>VLOOKUP(A155,[5]shown_tract_singleparent_share2!$A$2:$C$378,3,0)</f>
        <v>0.95179999999999998</v>
      </c>
    </row>
    <row r="156" spans="1:8" x14ac:dyDescent="0.2">
      <c r="A156">
        <v>24510271900</v>
      </c>
      <c r="B156" t="s">
        <v>21</v>
      </c>
      <c r="C156">
        <v>31367</v>
      </c>
      <c r="D156">
        <f>VLOOKUP(A156,[4]shown_tract_poor_share2016!$A$2:$C$378,3,0)</f>
        <v>0.2616</v>
      </c>
      <c r="E156">
        <f>VLOOKUP(A156,[1]shown_tract_teenbirth_rP_gF_pal!$A$2:$C$378,3,0)</f>
        <v>0.32200000000000001</v>
      </c>
      <c r="F156">
        <f>VLOOKUP(A156,[2]shown_tract_married_rP_gF_pall!$A$2:$C$378,3,0)</f>
        <v>0.25659999999999999</v>
      </c>
      <c r="G156">
        <f>VLOOKUP(A156,[3]shown_tract_median_rent2016!$A$2:$C$378,3,0)</f>
        <v>920</v>
      </c>
      <c r="H156">
        <f>VLOOKUP(A156,[5]shown_tract_singleparent_share2!$A$2:$C$378,3,0)</f>
        <v>0.43940000000000001</v>
      </c>
    </row>
    <row r="157" spans="1:8" x14ac:dyDescent="0.2">
      <c r="A157">
        <v>24510272003</v>
      </c>
      <c r="B157" t="s">
        <v>9</v>
      </c>
      <c r="C157">
        <v>43493</v>
      </c>
      <c r="D157">
        <f>VLOOKUP(A157,[4]shown_tract_poor_share2016!$A$2:$C$378,3,0)</f>
        <v>5.1499999999999997E-2</v>
      </c>
      <c r="E157">
        <f>VLOOKUP(A157,[1]shown_tract_teenbirth_rP_gF_pal!$A$2:$C$378,3,0)</f>
        <v>0.14219999999999999</v>
      </c>
      <c r="F157">
        <f>VLOOKUP(A157,[2]shown_tract_married_rP_gF_pall!$A$2:$C$378,3,0)</f>
        <v>0.48099999999999998</v>
      </c>
      <c r="G157">
        <f>VLOOKUP(A157,[3]shown_tract_median_rent2016!$A$2:$C$378,3,0)</f>
        <v>1130</v>
      </c>
      <c r="H157">
        <f>VLOOKUP(A157,[5]shown_tract_singleparent_share2!$A$2:$C$378,3,0)</f>
        <v>0.40100000000000002</v>
      </c>
    </row>
    <row r="158" spans="1:8" x14ac:dyDescent="0.2">
      <c r="A158">
        <v>24510272004</v>
      </c>
      <c r="B158" t="s">
        <v>11</v>
      </c>
      <c r="C158">
        <v>48007</v>
      </c>
      <c r="D158">
        <f>VLOOKUP(A158,[4]shown_tract_poor_share2016!$A$2:$C$378,3,0)</f>
        <v>0.10150000000000001</v>
      </c>
      <c r="E158">
        <f>VLOOKUP(A158,[1]shown_tract_teenbirth_rP_gF_pal!$A$2:$C$378,3,0)</f>
        <v>4.3700000000000003E-2</v>
      </c>
      <c r="F158">
        <f>VLOOKUP(A158,[2]shown_tract_married_rP_gF_pall!$A$2:$C$378,3,0)</f>
        <v>0.59470000000000001</v>
      </c>
      <c r="G158">
        <f>VLOOKUP(A158,[3]shown_tract_median_rent2016!$A$2:$C$378,3,0)</f>
        <v>1100</v>
      </c>
      <c r="H158">
        <f>VLOOKUP(A158,[5]shown_tract_singleparent_share2!$A$2:$C$378,3,0)</f>
        <v>0.15409999999999999</v>
      </c>
    </row>
    <row r="159" spans="1:8" x14ac:dyDescent="0.2">
      <c r="A159">
        <v>24510272005</v>
      </c>
      <c r="B159" t="s">
        <v>8</v>
      </c>
      <c r="C159">
        <v>53447</v>
      </c>
      <c r="D159">
        <f>VLOOKUP(A159,[4]shown_tract_poor_share2016!$A$2:$C$378,3,0)</f>
        <v>0.1845</v>
      </c>
      <c r="E159">
        <f>VLOOKUP(A159,[1]shown_tract_teenbirth_rP_gF_pal!$A$2:$C$378,3,0)</f>
        <v>5.8500000000000003E-2</v>
      </c>
      <c r="F159">
        <f>VLOOKUP(A159,[2]shown_tract_married_rP_gF_pall!$A$2:$C$378,3,0)</f>
        <v>0.67430000000000001</v>
      </c>
      <c r="G159">
        <f>VLOOKUP(A159,[3]shown_tract_median_rent2016!$A$2:$C$378,3,0)</f>
        <v>1140</v>
      </c>
      <c r="H159">
        <f>VLOOKUP(A159,[5]shown_tract_singleparent_share2!$A$2:$C$378,3,0)</f>
        <v>0.125</v>
      </c>
    </row>
    <row r="160" spans="1:8" x14ac:dyDescent="0.2">
      <c r="A160">
        <v>24510272006</v>
      </c>
      <c r="B160" t="s">
        <v>21</v>
      </c>
      <c r="C160">
        <v>39001</v>
      </c>
      <c r="D160">
        <f>VLOOKUP(A160,[4]shown_tract_poor_share2016!$A$2:$C$378,3,0)</f>
        <v>0.1963</v>
      </c>
      <c r="E160">
        <f>VLOOKUP(A160,[1]shown_tract_teenbirth_rP_gF_pal!$A$2:$C$378,3,0)</f>
        <v>0.24429999999999999</v>
      </c>
      <c r="F160">
        <f>VLOOKUP(A160,[2]shown_tract_married_rP_gF_pall!$A$2:$C$378,3,0)</f>
        <v>0.4803</v>
      </c>
      <c r="G160">
        <f>VLOOKUP(A160,[3]shown_tract_median_rent2016!$A$2:$C$378,3,0)</f>
        <v>852</v>
      </c>
      <c r="H160">
        <f>VLOOKUP(A160,[5]shown_tract_singleparent_share2!$A$2:$C$378,3,0)</f>
        <v>0.39050000000000001</v>
      </c>
    </row>
    <row r="161" spans="1:8" x14ac:dyDescent="0.2">
      <c r="A161">
        <v>24510272007</v>
      </c>
      <c r="B161" t="s">
        <v>25</v>
      </c>
      <c r="C161">
        <v>38111</v>
      </c>
      <c r="D161">
        <f>VLOOKUP(A161,[4]shown_tract_poor_share2016!$A$2:$C$378,3,0)</f>
        <v>0.23449999999999999</v>
      </c>
      <c r="E161">
        <f>VLOOKUP(A161,[1]shown_tract_teenbirth_rP_gF_pal!$A$2:$C$378,3,0)</f>
        <v>0.19739999999999999</v>
      </c>
      <c r="F161">
        <f>VLOOKUP(A161,[2]shown_tract_married_rP_gF_pall!$A$2:$C$378,3,0)</f>
        <v>0.39989999999999998</v>
      </c>
      <c r="G161">
        <f>VLOOKUP(A161,[3]shown_tract_median_rent2016!$A$2:$C$378,3,0)</f>
        <v>1105</v>
      </c>
      <c r="H161">
        <f>VLOOKUP(A161,[5]shown_tract_singleparent_share2!$A$2:$C$378,3,0)</f>
        <v>0.5746</v>
      </c>
    </row>
    <row r="162" spans="1:8" x14ac:dyDescent="0.2">
      <c r="A162">
        <v>24510280101</v>
      </c>
      <c r="B162" t="s">
        <v>64</v>
      </c>
      <c r="C162">
        <v>23921</v>
      </c>
      <c r="D162">
        <f>VLOOKUP(A162,[4]shown_tract_poor_share2016!$A$2:$C$378,3,0)</f>
        <v>0.3105</v>
      </c>
      <c r="E162">
        <f>VLOOKUP(A162,[1]shown_tract_teenbirth_rP_gF_pal!$A$2:$C$378,3,0)</f>
        <v>0.38819999999999999</v>
      </c>
      <c r="F162">
        <f>VLOOKUP(A162,[2]shown_tract_married_rP_gF_pall!$A$2:$C$378,3,0)</f>
        <v>0.12889999999999999</v>
      </c>
      <c r="G162">
        <f>VLOOKUP(A162,[3]shown_tract_median_rent2016!$A$2:$C$378,3,0)</f>
        <v>1116</v>
      </c>
      <c r="H162">
        <f>VLOOKUP(A162,[5]shown_tract_singleparent_share2!$A$2:$C$378,3,0)</f>
        <v>0.6008</v>
      </c>
    </row>
    <row r="163" spans="1:8" x14ac:dyDescent="0.2">
      <c r="A163">
        <v>24510280102</v>
      </c>
      <c r="B163" t="s">
        <v>49</v>
      </c>
      <c r="C163">
        <v>25637</v>
      </c>
      <c r="D163">
        <f>VLOOKUP(A163,[4]shown_tract_poor_share2016!$A$2:$C$378,3,0)</f>
        <v>0.2213</v>
      </c>
      <c r="E163">
        <f>VLOOKUP(A163,[1]shown_tract_teenbirth_rP_gF_pal!$A$2:$C$378,3,0)</f>
        <v>0.35449999999999998</v>
      </c>
      <c r="F163">
        <f>VLOOKUP(A163,[2]shown_tract_married_rP_gF_pall!$A$2:$C$378,3,0)</f>
        <v>0.16120000000000001</v>
      </c>
      <c r="G163">
        <f>VLOOKUP(A163,[3]shown_tract_median_rent2016!$A$2:$C$378,3,0)</f>
        <v>902</v>
      </c>
      <c r="H163">
        <f>VLOOKUP(A163,[5]shown_tract_singleparent_share2!$A$2:$C$378,3,0)</f>
        <v>0.59009999999999996</v>
      </c>
    </row>
    <row r="164" spans="1:8" x14ac:dyDescent="0.2">
      <c r="A164">
        <v>24510280200</v>
      </c>
      <c r="B164" t="s">
        <v>49</v>
      </c>
      <c r="C164">
        <v>27936</v>
      </c>
      <c r="D164">
        <f>VLOOKUP(A164,[4]shown_tract_poor_share2016!$A$2:$C$378,3,0)</f>
        <v>0.23469999999999999</v>
      </c>
      <c r="E164">
        <f>VLOOKUP(A164,[1]shown_tract_teenbirth_rP_gF_pal!$A$2:$C$378,3,0)</f>
        <v>0.45190000000000002</v>
      </c>
      <c r="F164">
        <f>VLOOKUP(A164,[2]shown_tract_married_rP_gF_pall!$A$2:$C$378,3,0)</f>
        <v>0.14380000000000001</v>
      </c>
      <c r="G164">
        <f>VLOOKUP(A164,[3]shown_tract_median_rent2016!$A$2:$C$378,3,0)</f>
        <v>991</v>
      </c>
      <c r="H164">
        <f>VLOOKUP(A164,[5]shown_tract_singleparent_share2!$A$2:$C$378,3,0)</f>
        <v>0.58109999999999995</v>
      </c>
    </row>
    <row r="165" spans="1:8" x14ac:dyDescent="0.2">
      <c r="A165">
        <v>24510280301</v>
      </c>
      <c r="B165" t="s">
        <v>49</v>
      </c>
      <c r="C165">
        <v>27223</v>
      </c>
      <c r="D165">
        <f>VLOOKUP(A165,[4]shown_tract_poor_share2016!$A$2:$C$378,3,0)</f>
        <v>0.25430000000000003</v>
      </c>
      <c r="E165">
        <f>VLOOKUP(A165,[1]shown_tract_teenbirth_rP_gF_pal!$A$2:$C$378,3,0)</f>
        <v>0.46639999999999998</v>
      </c>
      <c r="F165">
        <f>VLOOKUP(A165,[2]shown_tract_married_rP_gF_pall!$A$2:$C$378,3,0)</f>
        <v>0.1424</v>
      </c>
      <c r="G165">
        <f>VLOOKUP(A165,[3]shown_tract_median_rent2016!$A$2:$C$378,3,0)</f>
        <v>1001</v>
      </c>
      <c r="H165">
        <f>VLOOKUP(A165,[5]shown_tract_singleparent_share2!$A$2:$C$378,3,0)</f>
        <v>0.79620000000000002</v>
      </c>
    </row>
    <row r="166" spans="1:8" x14ac:dyDescent="0.2">
      <c r="A166">
        <v>24510280302</v>
      </c>
      <c r="B166" t="s">
        <v>54</v>
      </c>
      <c r="C166">
        <v>26262</v>
      </c>
      <c r="D166">
        <f>VLOOKUP(A166,[4]shown_tract_poor_share2016!$A$2:$C$378,3,0)</f>
        <v>0.24690000000000001</v>
      </c>
      <c r="E166">
        <f>VLOOKUP(A166,[1]shown_tract_teenbirth_rP_gF_pal!$A$2:$C$378,3,0)</f>
        <v>0.30430000000000001</v>
      </c>
      <c r="F166">
        <f>VLOOKUP(A166,[2]shown_tract_married_rP_gF_pall!$A$2:$C$378,3,0)</f>
        <v>0.15720000000000001</v>
      </c>
      <c r="G166">
        <f>VLOOKUP(A166,[3]shown_tract_median_rent2016!$A$2:$C$378,3,0)</f>
        <v>959</v>
      </c>
      <c r="H166">
        <f>VLOOKUP(A166,[5]shown_tract_singleparent_share2!$A$2:$C$378,3,0)</f>
        <v>0.86350000000000005</v>
      </c>
    </row>
    <row r="167" spans="1:8" x14ac:dyDescent="0.2">
      <c r="A167">
        <v>24510280401</v>
      </c>
      <c r="B167" t="s">
        <v>9</v>
      </c>
      <c r="C167">
        <v>31896</v>
      </c>
      <c r="D167">
        <f>VLOOKUP(A167,[4]shown_tract_poor_share2016!$A$2:$C$378,3,0)</f>
        <v>0.121</v>
      </c>
      <c r="E167">
        <f>VLOOKUP(A167,[1]shown_tract_teenbirth_rP_gF_pal!$A$2:$C$378,3,0)</f>
        <v>0.28670000000000001</v>
      </c>
      <c r="F167">
        <f>VLOOKUP(A167,[2]shown_tract_married_rP_gF_pall!$A$2:$C$378,3,0)</f>
        <v>0.1618</v>
      </c>
      <c r="G167">
        <f>VLOOKUP(A167,[3]shown_tract_median_rent2016!$A$2:$C$378,3,0)</f>
        <v>798</v>
      </c>
      <c r="H167">
        <f>VLOOKUP(A167,[5]shown_tract_singleparent_share2!$A$2:$C$378,3,0)</f>
        <v>0.34870000000000001</v>
      </c>
    </row>
    <row r="168" spans="1:8" x14ac:dyDescent="0.2">
      <c r="A168">
        <v>24510280402</v>
      </c>
      <c r="B168" t="s">
        <v>51</v>
      </c>
      <c r="C168">
        <v>27472</v>
      </c>
      <c r="D168">
        <f>VLOOKUP(A168,[4]shown_tract_poor_share2016!$A$2:$C$378,3,0)</f>
        <v>8.48E-2</v>
      </c>
      <c r="E168">
        <f>VLOOKUP(A168,[1]shown_tract_teenbirth_rP_gF_pal!$A$2:$C$378,3,0)</f>
        <v>0.40550000000000003</v>
      </c>
      <c r="F168">
        <f>VLOOKUP(A168,[2]shown_tract_married_rP_gF_pall!$A$2:$C$378,3,0)</f>
        <v>0.19409999999999999</v>
      </c>
      <c r="G168">
        <f>VLOOKUP(A168,[3]shown_tract_median_rent2016!$A$2:$C$378,3,0)</f>
        <v>1369</v>
      </c>
      <c r="H168">
        <f>VLOOKUP(A168,[5]shown_tract_singleparent_share2!$A$2:$C$378,3,0)</f>
        <v>0.5242</v>
      </c>
    </row>
    <row r="169" spans="1:8" x14ac:dyDescent="0.2">
      <c r="A169">
        <v>24510280403</v>
      </c>
      <c r="B169" t="s">
        <v>26</v>
      </c>
      <c r="C169">
        <v>37885</v>
      </c>
      <c r="D169">
        <f>VLOOKUP(A169,[4]shown_tract_poor_share2016!$A$2:$C$378,3,0)</f>
        <v>6.9400000000000003E-2</v>
      </c>
      <c r="E169">
        <f>VLOOKUP(A169,[1]shown_tract_teenbirth_rP_gF_pal!$A$2:$C$378,3,0)</f>
        <v>0.2863</v>
      </c>
      <c r="F169">
        <f>VLOOKUP(A169,[2]shown_tract_married_rP_gF_pall!$A$2:$C$378,3,0)</f>
        <v>0.25979999999999998</v>
      </c>
      <c r="G169">
        <f>VLOOKUP(A169,[3]shown_tract_median_rent2016!$A$2:$C$378,3,0)</f>
        <v>1003</v>
      </c>
      <c r="H169">
        <f>VLOOKUP(A169,[5]shown_tract_singleparent_share2!$A$2:$C$378,3,0)</f>
        <v>0.58979999999999999</v>
      </c>
    </row>
    <row r="170" spans="1:8" x14ac:dyDescent="0.2">
      <c r="A170">
        <v>24510280404</v>
      </c>
      <c r="B170" t="s">
        <v>53</v>
      </c>
      <c r="C170">
        <v>26152</v>
      </c>
      <c r="D170">
        <f>VLOOKUP(A170,[4]shown_tract_poor_share2016!$A$2:$C$378,3,0)</f>
        <v>0.25380000000000003</v>
      </c>
      <c r="E170">
        <f>VLOOKUP(A170,[1]shown_tract_teenbirth_rP_gF_pal!$A$2:$C$378,3,0)</f>
        <v>0.43099999999999999</v>
      </c>
      <c r="F170">
        <f>VLOOKUP(A170,[2]shown_tract_married_rP_gF_pall!$A$2:$C$378,3,0)</f>
        <v>9.8000000000000004E-2</v>
      </c>
      <c r="G170">
        <f>VLOOKUP(A170,[3]shown_tract_median_rent2016!$A$2:$C$378,3,0)</f>
        <v>470</v>
      </c>
      <c r="H170">
        <f>VLOOKUP(A170,[5]shown_tract_singleparent_share2!$A$2:$C$378,3,0)</f>
        <v>0.90439999999999998</v>
      </c>
    </row>
    <row r="171" spans="1:8" x14ac:dyDescent="0.2">
      <c r="A171">
        <v>24510280500</v>
      </c>
      <c r="B171" t="s">
        <v>110</v>
      </c>
      <c r="C171">
        <v>18192</v>
      </c>
      <c r="D171">
        <f>VLOOKUP(A171,[4]shown_tract_poor_share2016!$A$2:$C$378,3,0)</f>
        <v>0.68520000000000003</v>
      </c>
      <c r="E171">
        <f>VLOOKUP(A171,[1]shown_tract_teenbirth_rP_gF_pal!$A$2:$C$378,3,0)</f>
        <v>0.65959999999999996</v>
      </c>
      <c r="F171">
        <f>VLOOKUP(A171,[2]shown_tract_married_rP_gF_pall!$A$2:$C$378,3,0)</f>
        <v>4.2000000000000003E-2</v>
      </c>
      <c r="G171">
        <f>VLOOKUP(A171,[3]shown_tract_median_rent2016!$A$2:$C$378,3,0)</f>
        <v>265</v>
      </c>
      <c r="H171">
        <f>VLOOKUP(A171,[5]shown_tract_singleparent_share2!$A$2:$C$378,3,0)</f>
        <v>0.90869999999999995</v>
      </c>
    </row>
    <row r="172" spans="1:8" x14ac:dyDescent="0.2">
      <c r="A172">
        <v>24003750101</v>
      </c>
      <c r="B172" t="s">
        <v>115</v>
      </c>
      <c r="C172">
        <v>34081</v>
      </c>
      <c r="D172">
        <f>VLOOKUP(A172,[4]shown_tract_poor_share2016!$A$2:$C$378,3,0)</f>
        <v>0.24010000000000001</v>
      </c>
      <c r="E172">
        <f>VLOOKUP(A172,[1]shown_tract_teenbirth_rP_gF_pal!$A$2:$C$378,3,0)</f>
        <v>0.29520000000000002</v>
      </c>
      <c r="F172">
        <f>VLOOKUP(A172,[2]shown_tract_married_rP_gF_pall!$A$2:$C$378,3,0)</f>
        <v>0.36730000000000002</v>
      </c>
      <c r="G172">
        <f>VLOOKUP(A172,[3]shown_tract_median_rent2016!$A$2:$C$378,3,0)</f>
        <v>1118</v>
      </c>
      <c r="H172">
        <f>VLOOKUP(A172,[5]shown_tract_singleparent_share2!$A$2:$C$378,3,0)</f>
        <v>0.3599</v>
      </c>
    </row>
    <row r="173" spans="1:8" x14ac:dyDescent="0.2">
      <c r="A173">
        <v>24003750102</v>
      </c>
      <c r="B173" t="s">
        <v>9</v>
      </c>
      <c r="C173">
        <v>35359</v>
      </c>
      <c r="D173">
        <f>VLOOKUP(A173,[4]shown_tract_poor_share2016!$A$2:$C$378,3,0)</f>
        <v>0.1913</v>
      </c>
      <c r="E173">
        <f>VLOOKUP(A173,[1]shown_tract_teenbirth_rP_gF_pal!$A$2:$C$378,3,0)</f>
        <v>0.30349999999999999</v>
      </c>
      <c r="F173">
        <f>VLOOKUP(A173,[2]shown_tract_married_rP_gF_pall!$A$2:$C$378,3,0)</f>
        <v>0.41010000000000002</v>
      </c>
      <c r="G173">
        <f>VLOOKUP(A173,[3]shown_tract_median_rent2016!$A$2:$C$378,3,0)</f>
        <v>1299</v>
      </c>
      <c r="H173">
        <f>VLOOKUP(A173,[5]shown_tract_singleparent_share2!$A$2:$C$378,3,0)</f>
        <v>0.4365</v>
      </c>
    </row>
    <row r="174" spans="1:8" x14ac:dyDescent="0.2">
      <c r="A174">
        <v>24003750201</v>
      </c>
      <c r="B174" t="s">
        <v>116</v>
      </c>
      <c r="C174">
        <v>37194</v>
      </c>
      <c r="D174">
        <f>VLOOKUP(A174,[4]shown_tract_poor_share2016!$A$2:$C$378,3,0)</f>
        <v>0.158</v>
      </c>
      <c r="E174">
        <f>VLOOKUP(A174,[1]shown_tract_teenbirth_rP_gF_pal!$A$2:$C$378,3,0)</f>
        <v>0.24660000000000001</v>
      </c>
      <c r="F174">
        <f>VLOOKUP(A174,[2]shown_tract_married_rP_gF_pall!$A$2:$C$378,3,0)</f>
        <v>0.35780000000000001</v>
      </c>
      <c r="G174">
        <f>VLOOKUP(A174,[3]shown_tract_median_rent2016!$A$2:$C$378,3,0)</f>
        <v>1120</v>
      </c>
      <c r="H174">
        <f>VLOOKUP(A174,[5]shown_tract_singleparent_share2!$A$2:$C$378,3,0)</f>
        <v>0.58499999999999996</v>
      </c>
    </row>
    <row r="175" spans="1:8" x14ac:dyDescent="0.2">
      <c r="A175">
        <v>24003750202</v>
      </c>
      <c r="B175" t="s">
        <v>115</v>
      </c>
      <c r="C175">
        <v>44262</v>
      </c>
      <c r="D175">
        <f>VLOOKUP(A175,[4]shown_tract_poor_share2016!$A$2:$C$378,3,0)</f>
        <v>0.1193</v>
      </c>
      <c r="E175">
        <f>VLOOKUP(A175,[1]shown_tract_teenbirth_rP_gF_pal!$A$2:$C$378,3,0)</f>
        <v>0.21990000000000001</v>
      </c>
      <c r="F175">
        <f>VLOOKUP(A175,[2]shown_tract_married_rP_gF_pall!$A$2:$C$378,3,0)</f>
        <v>0.54630000000000001</v>
      </c>
      <c r="G175">
        <f>VLOOKUP(A175,[3]shown_tract_median_rent2016!$A$2:$C$378,3,0)</f>
        <v>971</v>
      </c>
      <c r="H175">
        <f>VLOOKUP(A175,[5]shown_tract_singleparent_share2!$A$2:$C$378,3,0)</f>
        <v>0.14460000000000001</v>
      </c>
    </row>
    <row r="176" spans="1:8" x14ac:dyDescent="0.2">
      <c r="A176">
        <v>24003750203</v>
      </c>
      <c r="B176" t="s">
        <v>9</v>
      </c>
      <c r="C176">
        <v>37879</v>
      </c>
      <c r="D176">
        <f>VLOOKUP(A176,[4]shown_tract_poor_share2016!$A$2:$C$378,3,0)</f>
        <v>2.9899999999999999E-2</v>
      </c>
      <c r="E176">
        <f>VLOOKUP(A176,[1]shown_tract_teenbirth_rP_gF_pal!$A$2:$C$378,3,0)</f>
        <v>0.33050000000000002</v>
      </c>
      <c r="F176">
        <f>VLOOKUP(A176,[2]shown_tract_married_rP_gF_pall!$A$2:$C$378,3,0)</f>
        <v>0.40860000000000002</v>
      </c>
      <c r="G176">
        <f>VLOOKUP(A176,[3]shown_tract_median_rent2016!$A$2:$C$378,3,0)</f>
        <v>1594</v>
      </c>
      <c r="H176">
        <f>VLOOKUP(A176,[5]shown_tract_singleparent_share2!$A$2:$C$378,3,0)</f>
        <v>0.16869999999999999</v>
      </c>
    </row>
    <row r="177" spans="1:8" x14ac:dyDescent="0.2">
      <c r="A177">
        <v>24003750300</v>
      </c>
      <c r="B177" t="s">
        <v>117</v>
      </c>
      <c r="C177">
        <v>47265</v>
      </c>
      <c r="D177">
        <f>VLOOKUP(A177,[4]shown_tract_poor_share2016!$A$2:$C$378,3,0)</f>
        <v>0.124</v>
      </c>
      <c r="E177">
        <f>VLOOKUP(A177,[1]shown_tract_teenbirth_rP_gF_pal!$A$2:$C$378,3,0)</f>
        <v>0.19420000000000001</v>
      </c>
      <c r="F177">
        <f>VLOOKUP(A177,[2]shown_tract_married_rP_gF_pall!$A$2:$C$378,3,0)</f>
        <v>0.48749999999999999</v>
      </c>
      <c r="G177">
        <f>VLOOKUP(A177,[3]shown_tract_median_rent2016!$A$2:$C$378,3,0)</f>
        <v>1349</v>
      </c>
      <c r="H177">
        <f>VLOOKUP(A177,[5]shown_tract_singleparent_share2!$A$2:$C$378,3,0)</f>
        <v>0.1694</v>
      </c>
    </row>
    <row r="178" spans="1:8" x14ac:dyDescent="0.2">
      <c r="A178">
        <v>24003751200</v>
      </c>
      <c r="B178" t="s">
        <v>117</v>
      </c>
      <c r="C178">
        <v>51090</v>
      </c>
      <c r="D178">
        <f>VLOOKUP(A178,[4]shown_tract_poor_share2016!$A$2:$C$378,3,0)</f>
        <v>8.2100000000000006E-2</v>
      </c>
      <c r="E178">
        <f>VLOOKUP(A178,[1]shown_tract_teenbirth_rP_gF_pal!$A$2:$C$378,3,0)</f>
        <v>0.1149</v>
      </c>
      <c r="F178">
        <f>VLOOKUP(A178,[2]shown_tract_married_rP_gF_pall!$A$2:$C$378,3,0)</f>
        <v>0.59060000000000001</v>
      </c>
      <c r="G178">
        <f>VLOOKUP(A178,[3]shown_tract_median_rent2016!$A$2:$C$378,3,0)</f>
        <v>925</v>
      </c>
      <c r="H178">
        <f>VLOOKUP(A178,[5]shown_tract_singleparent_share2!$A$2:$C$378,3,0)</f>
        <v>0.1714</v>
      </c>
    </row>
    <row r="179" spans="1:8" x14ac:dyDescent="0.2">
      <c r="A179">
        <v>24005400100</v>
      </c>
      <c r="B179" t="s">
        <v>118</v>
      </c>
      <c r="C179">
        <v>53078</v>
      </c>
      <c r="D179">
        <f>VLOOKUP(A179,[4]shown_tract_poor_share2016!$A$2:$C$378,3,0)</f>
        <v>6.54E-2</v>
      </c>
      <c r="E179">
        <f>VLOOKUP(A179,[1]shown_tract_teenbirth_rP_gF_pal!$A$2:$C$378,3,0)</f>
        <v>0.1113</v>
      </c>
      <c r="F179">
        <f>VLOOKUP(A179,[2]shown_tract_married_rP_gF_pall!$A$2:$C$378,3,0)</f>
        <v>0.52490000000000003</v>
      </c>
      <c r="G179">
        <f>VLOOKUP(A179,[3]shown_tract_median_rent2016!$A$2:$C$378,3,0)</f>
        <v>1842</v>
      </c>
      <c r="H179">
        <f>VLOOKUP(A179,[5]shown_tract_singleparent_share2!$A$2:$C$378,3,0)</f>
        <v>0.1217</v>
      </c>
    </row>
    <row r="180" spans="1:8" x14ac:dyDescent="0.2">
      <c r="A180">
        <v>24005400200</v>
      </c>
      <c r="B180" t="s">
        <v>118</v>
      </c>
      <c r="C180">
        <v>49112</v>
      </c>
      <c r="D180">
        <f>VLOOKUP(A180,[4]shown_tract_poor_share2016!$A$2:$C$378,3,0)</f>
        <v>0.13650000000000001</v>
      </c>
      <c r="E180">
        <f>VLOOKUP(A180,[1]shown_tract_teenbirth_rP_gF_pal!$A$2:$C$378,3,0)</f>
        <v>0.10489999999999999</v>
      </c>
      <c r="F180">
        <f>VLOOKUP(A180,[2]shown_tract_married_rP_gF_pall!$A$2:$C$378,3,0)</f>
        <v>0.48580000000000001</v>
      </c>
      <c r="G180">
        <f>VLOOKUP(A180,[3]shown_tract_median_rent2016!$A$2:$C$378,3,0)</f>
        <v>1065</v>
      </c>
      <c r="H180">
        <f>VLOOKUP(A180,[5]shown_tract_singleparent_share2!$A$2:$C$378,3,0)</f>
        <v>0.51829999999999998</v>
      </c>
    </row>
    <row r="181" spans="1:8" x14ac:dyDescent="0.2">
      <c r="A181">
        <v>24005430101</v>
      </c>
      <c r="B181" t="s">
        <v>119</v>
      </c>
      <c r="C181">
        <v>31213</v>
      </c>
      <c r="D181">
        <f>VLOOKUP(A181,[4]shown_tract_poor_share2016!$A$2:$C$378,3,0)</f>
        <v>0.3044</v>
      </c>
      <c r="E181">
        <f>VLOOKUP(A181,[1]shown_tract_teenbirth_rP_gF_pal!$A$2:$C$378,3,0)</f>
        <v>0.32600000000000001</v>
      </c>
      <c r="F181">
        <f>VLOOKUP(A181,[2]shown_tract_married_rP_gF_pall!$A$2:$C$378,3,0)</f>
        <v>0.33160000000000001</v>
      </c>
      <c r="G181">
        <f>VLOOKUP(A181,[3]shown_tract_median_rent2016!$A$2:$C$378,3,0)</f>
        <v>1039</v>
      </c>
      <c r="H181">
        <f>VLOOKUP(A181,[5]shown_tract_singleparent_share2!$A$2:$C$378,3,0)</f>
        <v>0.48220000000000002</v>
      </c>
    </row>
    <row r="182" spans="1:8" x14ac:dyDescent="0.2">
      <c r="A182">
        <v>24005430104</v>
      </c>
      <c r="B182" t="s">
        <v>120</v>
      </c>
      <c r="C182">
        <v>40272</v>
      </c>
      <c r="D182">
        <f>VLOOKUP(A182,[4]shown_tract_poor_share2016!$A$2:$C$378,3,0)</f>
        <v>0.1027</v>
      </c>
      <c r="E182">
        <f>VLOOKUP(A182,[1]shown_tract_teenbirth_rP_gF_pal!$A$2:$C$378,3,0)</f>
        <v>0.18590000000000001</v>
      </c>
      <c r="F182">
        <f>VLOOKUP(A182,[2]shown_tract_married_rP_gF_pall!$A$2:$C$378,3,0)</f>
        <v>0.4572</v>
      </c>
      <c r="G182">
        <f>VLOOKUP(A182,[3]shown_tract_median_rent2016!$A$2:$C$378,3,0)</f>
        <v>1554</v>
      </c>
      <c r="H182">
        <f>VLOOKUP(A182,[5]shown_tract_singleparent_share2!$A$2:$C$378,3,0)</f>
        <v>0.38100000000000001</v>
      </c>
    </row>
    <row r="183" spans="1:8" x14ac:dyDescent="0.2">
      <c r="A183">
        <v>24005430200</v>
      </c>
      <c r="B183" t="s">
        <v>119</v>
      </c>
      <c r="C183">
        <v>39123</v>
      </c>
      <c r="D183">
        <f>VLOOKUP(A183,[4]shown_tract_poor_share2016!$A$2:$C$378,3,0)</f>
        <v>0.11600000000000001</v>
      </c>
      <c r="E183">
        <f>VLOOKUP(A183,[1]shown_tract_teenbirth_rP_gF_pal!$A$2:$C$378,3,0)</f>
        <v>0.22289999999999999</v>
      </c>
      <c r="F183">
        <f>VLOOKUP(A183,[2]shown_tract_married_rP_gF_pall!$A$2:$C$378,3,0)</f>
        <v>0.46329999999999999</v>
      </c>
      <c r="G183">
        <f>VLOOKUP(A183,[3]shown_tract_median_rent2016!$A$2:$C$378,3,0)</f>
        <v>1072</v>
      </c>
      <c r="H183">
        <f>VLOOKUP(A183,[5]shown_tract_singleparent_share2!$A$2:$C$378,3,0)</f>
        <v>0.5534</v>
      </c>
    </row>
    <row r="184" spans="1:8" x14ac:dyDescent="0.2">
      <c r="A184">
        <v>24005430300</v>
      </c>
      <c r="B184" t="s">
        <v>120</v>
      </c>
      <c r="C184">
        <v>33057</v>
      </c>
      <c r="D184">
        <f>VLOOKUP(A184,[4]shown_tract_poor_share2016!$A$2:$C$378,3,0)</f>
        <v>0.316</v>
      </c>
      <c r="E184">
        <f>VLOOKUP(A184,[1]shown_tract_teenbirth_rP_gF_pal!$A$2:$C$378,3,0)</f>
        <v>0.26200000000000001</v>
      </c>
      <c r="F184">
        <f>VLOOKUP(A184,[2]shown_tract_married_rP_gF_pall!$A$2:$C$378,3,0)</f>
        <v>0.36990000000000001</v>
      </c>
      <c r="G184">
        <f>VLOOKUP(A184,[3]shown_tract_median_rent2016!$A$2:$C$378,3,0)</f>
        <v>1073</v>
      </c>
      <c r="H184">
        <f>VLOOKUP(A184,[5]shown_tract_singleparent_share2!$A$2:$C$378,3,0)</f>
        <v>0.78249999999999997</v>
      </c>
    </row>
    <row r="185" spans="1:8" x14ac:dyDescent="0.2">
      <c r="A185">
        <v>24005430400</v>
      </c>
      <c r="B185" t="s">
        <v>121</v>
      </c>
      <c r="C185">
        <v>49576</v>
      </c>
      <c r="D185">
        <f>VLOOKUP(A185,[4]shown_tract_poor_share2016!$A$2:$C$378,3,0)</f>
        <v>0.14710000000000001</v>
      </c>
      <c r="E185">
        <f>VLOOKUP(A185,[1]shown_tract_teenbirth_rP_gF_pal!$A$2:$C$378,3,0)</f>
        <v>0.17380000000000001</v>
      </c>
      <c r="F185">
        <f>VLOOKUP(A185,[2]shown_tract_married_rP_gF_pall!$A$2:$C$378,3,0)</f>
        <v>0.55430000000000001</v>
      </c>
      <c r="G185">
        <f>VLOOKUP(A185,[3]shown_tract_median_rent2016!$A$2:$C$378,3,0)</f>
        <v>1071</v>
      </c>
      <c r="H185">
        <f>VLOOKUP(A185,[5]shown_tract_singleparent_share2!$A$2:$C$378,3,0)</f>
        <v>0.17699999999999999</v>
      </c>
    </row>
    <row r="186" spans="1:8" x14ac:dyDescent="0.2">
      <c r="A186">
        <v>24005430600</v>
      </c>
      <c r="B186" t="s">
        <v>122</v>
      </c>
      <c r="C186">
        <v>59646</v>
      </c>
      <c r="D186">
        <f>VLOOKUP(A186,[4]shown_tract_poor_share2016!$A$2:$C$378,3,0)</f>
        <v>6.1100000000000002E-2</v>
      </c>
      <c r="E186">
        <f>VLOOKUP(A186,[1]shown_tract_teenbirth_rP_gF_pal!$A$2:$C$378,3,0)</f>
        <v>7.2300000000000003E-2</v>
      </c>
      <c r="F186">
        <f>VLOOKUP(A186,[2]shown_tract_married_rP_gF_pall!$A$2:$C$378,3,0)</f>
        <v>0.64449999999999996</v>
      </c>
      <c r="G186">
        <f>VLOOKUP(A186,[3]shown_tract_median_rent2016!$A$2:$C$378,3,0)</f>
        <v>1175</v>
      </c>
      <c r="H186">
        <f>VLOOKUP(A186,[5]shown_tract_singleparent_share2!$A$2:$C$378,3,0)</f>
        <v>0.2271</v>
      </c>
    </row>
    <row r="187" spans="1:8" x14ac:dyDescent="0.2">
      <c r="A187">
        <v>24005430700</v>
      </c>
      <c r="B187" t="s">
        <v>121</v>
      </c>
      <c r="C187">
        <v>49150</v>
      </c>
      <c r="D187">
        <f>VLOOKUP(A187,[4]shown_tract_poor_share2016!$A$2:$C$378,3,0)</f>
        <v>5.6399999999999999E-2</v>
      </c>
      <c r="E187">
        <f>VLOOKUP(A187,[1]shown_tract_teenbirth_rP_gF_pal!$A$2:$C$378,3,0)</f>
        <v>0.12709999999999999</v>
      </c>
      <c r="F187">
        <f>VLOOKUP(A187,[2]shown_tract_married_rP_gF_pall!$A$2:$C$378,3,0)</f>
        <v>0.50390000000000001</v>
      </c>
      <c r="G187">
        <f>VLOOKUP(A187,[3]shown_tract_median_rent2016!$A$2:$C$378,3,0)</f>
        <v>1604</v>
      </c>
      <c r="H187">
        <f>VLOOKUP(A187,[5]shown_tract_singleparent_share2!$A$2:$C$378,3,0)</f>
        <v>0.16250000000000001</v>
      </c>
    </row>
    <row r="188" spans="1:8" x14ac:dyDescent="0.2">
      <c r="A188">
        <v>24005430800</v>
      </c>
      <c r="B188" t="s">
        <v>121</v>
      </c>
      <c r="C188">
        <v>45689</v>
      </c>
      <c r="D188">
        <f>VLOOKUP(A188,[4]shown_tract_poor_share2016!$A$2:$C$378,3,0)</f>
        <v>8.0699999999999994E-2</v>
      </c>
      <c r="E188">
        <f>VLOOKUP(A188,[1]shown_tract_teenbirth_rP_gF_pal!$A$2:$C$378,3,0)</f>
        <v>0.1535</v>
      </c>
      <c r="F188">
        <f>VLOOKUP(A188,[2]shown_tract_married_rP_gF_pall!$A$2:$C$378,3,0)</f>
        <v>0.47699999999999998</v>
      </c>
      <c r="G188">
        <f>VLOOKUP(A188,[3]shown_tract_median_rent2016!$A$2:$C$378,3,0)</f>
        <v>1141</v>
      </c>
      <c r="H188">
        <f>VLOOKUP(A188,[5]shown_tract_singleparent_share2!$A$2:$C$378,3,0)</f>
        <v>0.38350000000000001</v>
      </c>
    </row>
    <row r="189" spans="1:8" x14ac:dyDescent="0.2">
      <c r="A189">
        <v>24005430900</v>
      </c>
      <c r="B189" t="s">
        <v>9</v>
      </c>
      <c r="C189">
        <v>40369</v>
      </c>
      <c r="D189">
        <f>VLOOKUP(A189,[4]shown_tract_poor_share2016!$A$2:$C$378,3,0)</f>
        <v>0.1678</v>
      </c>
      <c r="E189">
        <f>VLOOKUP(A189,[1]shown_tract_teenbirth_rP_gF_pal!$A$2:$C$378,3,0)</f>
        <v>0.22720000000000001</v>
      </c>
      <c r="F189">
        <f>VLOOKUP(A189,[2]shown_tract_married_rP_gF_pall!$A$2:$C$378,3,0)</f>
        <v>0.46129999999999999</v>
      </c>
      <c r="G189">
        <f>VLOOKUP(A189,[3]shown_tract_median_rent2016!$A$2:$C$378,3,0)</f>
        <v>984</v>
      </c>
      <c r="H189">
        <f>VLOOKUP(A189,[5]shown_tract_singleparent_share2!$A$2:$C$378,3,0)</f>
        <v>0.45300000000000001</v>
      </c>
    </row>
    <row r="190" spans="1:8" x14ac:dyDescent="0.2">
      <c r="A190">
        <v>24510010100</v>
      </c>
      <c r="B190" t="s">
        <v>17</v>
      </c>
      <c r="C190">
        <v>39259</v>
      </c>
      <c r="D190">
        <f>VLOOKUP(A190,[4]shown_tract_poor_share2016!$A$2:$C$378,3,0)</f>
        <v>0.1047</v>
      </c>
      <c r="E190">
        <f>VLOOKUP(A190,[1]shown_tract_teenbirth_rP_gF_pal!$A$2:$C$378,3,0)</f>
        <v>0.23219999999999999</v>
      </c>
      <c r="F190">
        <f>VLOOKUP(A190,[2]shown_tract_married_rP_gF_pall!$A$2:$C$378,3,0)</f>
        <v>0.46029999999999999</v>
      </c>
      <c r="G190">
        <f>VLOOKUP(A190,[3]shown_tract_median_rent2016!$A$2:$C$378,3,0)</f>
        <v>1770</v>
      </c>
      <c r="H190">
        <f>VLOOKUP(A190,[5]shown_tract_singleparent_share2!$A$2:$C$378,3,0)</f>
        <v>0.31900000000000001</v>
      </c>
    </row>
    <row r="191" spans="1:8" x14ac:dyDescent="0.2">
      <c r="A191">
        <v>24510010400</v>
      </c>
      <c r="B191" t="s">
        <v>17</v>
      </c>
      <c r="C191">
        <v>44105</v>
      </c>
      <c r="D191">
        <f>VLOOKUP(A191,[4]shown_tract_poor_share2016!$A$2:$C$378,3,0)</f>
        <v>4.3499999999999997E-2</v>
      </c>
      <c r="E191">
        <f>VLOOKUP(A191,[1]shown_tract_teenbirth_rP_gF_pal!$A$2:$C$378,3,0)</f>
        <v>0.20880000000000001</v>
      </c>
      <c r="F191">
        <f>VLOOKUP(A191,[2]shown_tract_married_rP_gF_pall!$A$2:$C$378,3,0)</f>
        <v>0.46860000000000002</v>
      </c>
      <c r="G191">
        <f>VLOOKUP(A191,[3]shown_tract_median_rent2016!$A$2:$C$378,3,0)</f>
        <v>1796</v>
      </c>
      <c r="H191">
        <f>VLOOKUP(A191,[5]shown_tract_singleparent_share2!$A$2:$C$378,3,0)</f>
        <v>0</v>
      </c>
    </row>
    <row r="192" spans="1:8" x14ac:dyDescent="0.2">
      <c r="A192">
        <v>24510020300</v>
      </c>
      <c r="B192" t="s">
        <v>123</v>
      </c>
      <c r="C192">
        <v>52863</v>
      </c>
      <c r="D192">
        <f>VLOOKUP(A192,[4]shown_tract_poor_share2016!$A$2:$C$378,3,0)</f>
        <v>8.0199999999999994E-2</v>
      </c>
      <c r="E192">
        <f>VLOOKUP(A192,[1]shown_tract_teenbirth_rP_gF_pal!$A$2:$C$378,3,0)</f>
        <v>0.1467</v>
      </c>
      <c r="F192">
        <f>VLOOKUP(A192,[2]shown_tract_married_rP_gF_pall!$A$2:$C$378,3,0)</f>
        <v>0.36870000000000003</v>
      </c>
      <c r="G192">
        <f>VLOOKUP(A192,[3]shown_tract_median_rent2016!$A$2:$C$378,3,0)</f>
        <v>1984</v>
      </c>
      <c r="H192">
        <f>VLOOKUP(A192,[5]shown_tract_singleparent_share2!$A$2:$C$378,3,0)</f>
        <v>0.27910000000000001</v>
      </c>
    </row>
    <row r="193" spans="1:8" x14ac:dyDescent="0.2">
      <c r="A193">
        <v>24510200500</v>
      </c>
      <c r="B193" t="s">
        <v>124</v>
      </c>
      <c r="C193">
        <v>20019</v>
      </c>
      <c r="D193">
        <f>VLOOKUP(A193,[4]shown_tract_poor_share2016!$A$2:$C$378,3,0)</f>
        <v>0.45939999999999998</v>
      </c>
      <c r="E193">
        <f>VLOOKUP(A193,[1]shown_tract_teenbirth_rP_gF_pal!$A$2:$C$378,3,0)</f>
        <v>0.4511</v>
      </c>
      <c r="F193">
        <f>VLOOKUP(A193,[2]shown_tract_married_rP_gF_pall!$A$2:$C$378,3,0)</f>
        <v>0.2172</v>
      </c>
      <c r="G193">
        <f>VLOOKUP(A193,[3]shown_tract_median_rent2016!$A$2:$C$378,3,0)</f>
        <v>879</v>
      </c>
      <c r="H193">
        <f>VLOOKUP(A193,[5]shown_tract_singleparent_share2!$A$2:$C$378,3,0)</f>
        <v>0.47449999999999998</v>
      </c>
    </row>
    <row r="194" spans="1:8" x14ac:dyDescent="0.2">
      <c r="A194">
        <v>24510210100</v>
      </c>
      <c r="B194" t="s">
        <v>125</v>
      </c>
      <c r="C194">
        <v>19924</v>
      </c>
      <c r="D194">
        <f>VLOOKUP(A194,[4]shown_tract_poor_share2016!$A$2:$C$378,3,0)</f>
        <v>0.27229999999999999</v>
      </c>
      <c r="E194">
        <f>VLOOKUP(A194,[1]shown_tract_teenbirth_rP_gF_pal!$A$2:$C$378,3,0)</f>
        <v>0.4264</v>
      </c>
      <c r="F194">
        <f>VLOOKUP(A194,[2]shown_tract_married_rP_gF_pall!$A$2:$C$378,3,0)</f>
        <v>9.4600000000000004E-2</v>
      </c>
      <c r="G194">
        <f>VLOOKUP(A194,[3]shown_tract_median_rent2016!$A$2:$C$378,3,0)</f>
        <v>1341</v>
      </c>
      <c r="H194">
        <f>VLOOKUP(A194,[5]shown_tract_singleparent_share2!$A$2:$C$378,3,0)</f>
        <v>0.74590000000000001</v>
      </c>
    </row>
    <row r="195" spans="1:8" x14ac:dyDescent="0.2">
      <c r="A195">
        <v>24510210200</v>
      </c>
      <c r="B195" t="s">
        <v>125</v>
      </c>
      <c r="C195">
        <v>25184</v>
      </c>
      <c r="D195">
        <f>VLOOKUP(A195,[4]shown_tract_poor_share2016!$A$2:$C$378,3,0)</f>
        <v>0.34250000000000003</v>
      </c>
      <c r="E195">
        <f>VLOOKUP(A195,[1]shown_tract_teenbirth_rP_gF_pal!$A$2:$C$378,3,0)</f>
        <v>0.49469999999999997</v>
      </c>
      <c r="F195">
        <f>VLOOKUP(A195,[2]shown_tract_married_rP_gF_pall!$A$2:$C$378,3,0)</f>
        <v>0.26340000000000002</v>
      </c>
      <c r="G195">
        <f>VLOOKUP(A195,[3]shown_tract_median_rent2016!$A$2:$C$378,3,0)</f>
        <v>1257</v>
      </c>
      <c r="H195">
        <f>VLOOKUP(A195,[5]shown_tract_singleparent_share2!$A$2:$C$378,3,0)</f>
        <v>0.7772</v>
      </c>
    </row>
    <row r="196" spans="1:8" x14ac:dyDescent="0.2">
      <c r="A196">
        <v>24510230100</v>
      </c>
      <c r="B196" t="s">
        <v>9</v>
      </c>
      <c r="C196">
        <v>21648</v>
      </c>
      <c r="D196">
        <f>VLOOKUP(A196,[4]shown_tract_poor_share2016!$A$2:$C$378,3,0)</f>
        <v>0.18160000000000001</v>
      </c>
      <c r="E196">
        <f>VLOOKUP(A196,[1]shown_tract_teenbirth_rP_gF_pal!$A$2:$C$378,3,0)</f>
        <v>0.24</v>
      </c>
      <c r="F196">
        <f>VLOOKUP(A196,[2]shown_tract_married_rP_gF_pall!$A$2:$C$378,3,0)</f>
        <v>0.23139999999999999</v>
      </c>
      <c r="G196">
        <f>VLOOKUP(A196,[3]shown_tract_median_rent2016!$A$2:$C$378,3,0)</f>
        <v>1344</v>
      </c>
      <c r="H196">
        <f>VLOOKUP(A196,[5]shown_tract_singleparent_share2!$A$2:$C$378,3,0)</f>
        <v>0.56899999999999995</v>
      </c>
    </row>
    <row r="197" spans="1:8" x14ac:dyDescent="0.2">
      <c r="A197">
        <v>24510230200</v>
      </c>
      <c r="B197" t="s">
        <v>126</v>
      </c>
      <c r="C197">
        <v>34584</v>
      </c>
      <c r="D197">
        <f>VLOOKUP(A197,[4]shown_tract_poor_share2016!$A$2:$C$378,3,0)</f>
        <v>7.0300000000000001E-2</v>
      </c>
      <c r="E197">
        <f>VLOOKUP(A197,[1]shown_tract_teenbirth_rP_gF_pal!$A$2:$C$378,3,0)</f>
        <v>0.3009</v>
      </c>
      <c r="F197">
        <f>VLOOKUP(A197,[2]shown_tract_married_rP_gF_pall!$A$2:$C$378,3,0)</f>
        <v>0.46610000000000001</v>
      </c>
      <c r="G197">
        <f>VLOOKUP(A197,[3]shown_tract_median_rent2016!$A$2:$C$378,3,0)</f>
        <v>1718</v>
      </c>
      <c r="H197">
        <f>VLOOKUP(A197,[5]shown_tract_singleparent_share2!$A$2:$C$378,3,0)</f>
        <v>0</v>
      </c>
    </row>
    <row r="198" spans="1:8" x14ac:dyDescent="0.2">
      <c r="A198">
        <v>24510230300</v>
      </c>
      <c r="B198" t="s">
        <v>126</v>
      </c>
      <c r="C198">
        <v>26589</v>
      </c>
      <c r="D198">
        <f>VLOOKUP(A198,[4]shown_tract_poor_share2016!$A$2:$C$378,3,0)</f>
        <v>9.35E-2</v>
      </c>
      <c r="E198">
        <f>VLOOKUP(A198,[1]shown_tract_teenbirth_rP_gF_pal!$A$2:$C$378,3,0)</f>
        <v>0.31040000000000001</v>
      </c>
      <c r="F198">
        <f>VLOOKUP(A198,[2]shown_tract_married_rP_gF_pall!$A$2:$C$378,3,0)</f>
        <v>0.26090000000000002</v>
      </c>
      <c r="G198">
        <f>VLOOKUP(A198,[3]shown_tract_median_rent2016!$A$2:$C$378,3,0)</f>
        <v>1802</v>
      </c>
      <c r="H198">
        <f>VLOOKUP(A198,[5]shown_tract_singleparent_share2!$A$2:$C$378,3,0)</f>
        <v>0.13639999999999999</v>
      </c>
    </row>
    <row r="199" spans="1:8" x14ac:dyDescent="0.2">
      <c r="A199">
        <v>24510240100</v>
      </c>
      <c r="B199" t="s">
        <v>127</v>
      </c>
      <c r="C199">
        <v>41988</v>
      </c>
      <c r="D199">
        <f>VLOOKUP(A199,[4]shown_tract_poor_share2016!$A$2:$C$378,3,0)</f>
        <v>4.87E-2</v>
      </c>
      <c r="E199">
        <f>VLOOKUP(A199,[1]shown_tract_teenbirth_rP_gF_pal!$A$2:$C$378,3,0)</f>
        <v>0.25569999999999998</v>
      </c>
      <c r="F199">
        <f>VLOOKUP(A199,[2]shown_tract_married_rP_gF_pall!$A$2:$C$378,3,0)</f>
        <v>0.4194</v>
      </c>
      <c r="G199">
        <f>VLOOKUP(A199,[3]shown_tract_median_rent2016!$A$2:$C$378,3,0)</f>
        <v>1984</v>
      </c>
      <c r="H199">
        <f>VLOOKUP(A199,[5]shown_tract_singleparent_share2!$A$2:$C$378,3,0)</f>
        <v>0.12709999999999999</v>
      </c>
    </row>
    <row r="200" spans="1:8" x14ac:dyDescent="0.2">
      <c r="A200">
        <v>24510240200</v>
      </c>
      <c r="B200" t="s">
        <v>128</v>
      </c>
      <c r="C200">
        <v>50598</v>
      </c>
      <c r="D200">
        <f>VLOOKUP(A200,[4]shown_tract_poor_share2016!$A$2:$C$378,3,0)</f>
        <v>3.0599999999999999E-2</v>
      </c>
      <c r="E200">
        <f>VLOOKUP(A200,[1]shown_tract_teenbirth_rP_gF_pal!$A$2:$C$378,3,0)</f>
        <v>0.1923</v>
      </c>
      <c r="F200">
        <f>VLOOKUP(A200,[2]shown_tract_married_rP_gF_pall!$A$2:$C$378,3,0)</f>
        <v>0.39290000000000003</v>
      </c>
      <c r="G200">
        <f>VLOOKUP(A200,[3]shown_tract_median_rent2016!$A$2:$C$378,3,0)</f>
        <v>2054</v>
      </c>
      <c r="H200">
        <f>VLOOKUP(A200,[5]shown_tract_singleparent_share2!$A$2:$C$378,3,0)</f>
        <v>8.5900000000000004E-2</v>
      </c>
    </row>
    <row r="201" spans="1:8" x14ac:dyDescent="0.2">
      <c r="A201">
        <v>24510240300</v>
      </c>
      <c r="B201" t="s">
        <v>128</v>
      </c>
      <c r="C201">
        <v>33259</v>
      </c>
      <c r="D201">
        <f>VLOOKUP(A201,[4]shown_tract_poor_share2016!$A$2:$C$378,3,0)</f>
        <v>7.6700000000000004E-2</v>
      </c>
      <c r="E201">
        <f>VLOOKUP(A201,[1]shown_tract_teenbirth_rP_gF_pal!$A$2:$C$378,3,0)</f>
        <v>0.20730000000000001</v>
      </c>
      <c r="F201">
        <f>VLOOKUP(A201,[2]shown_tract_married_rP_gF_pall!$A$2:$C$378,3,0)</f>
        <v>0.33450000000000002</v>
      </c>
      <c r="G201">
        <f>VLOOKUP(A201,[3]shown_tract_median_rent2016!$A$2:$C$378,3,0)</f>
        <v>1741</v>
      </c>
      <c r="H201">
        <f>VLOOKUP(A201,[5]shown_tract_singleparent_share2!$A$2:$C$378,3,0)</f>
        <v>0</v>
      </c>
    </row>
    <row r="202" spans="1:8" x14ac:dyDescent="0.2">
      <c r="A202">
        <v>24510240400</v>
      </c>
      <c r="B202" t="s">
        <v>129</v>
      </c>
      <c r="C202">
        <v>37546</v>
      </c>
      <c r="D202">
        <f>VLOOKUP(A202,[4]shown_tract_poor_share2016!$A$2:$C$378,3,0)</f>
        <v>1.6799999999999999E-2</v>
      </c>
      <c r="E202">
        <f>VLOOKUP(A202,[1]shown_tract_teenbirth_rP_gF_pal!$A$2:$C$378,3,0)</f>
        <v>0.24160000000000001</v>
      </c>
      <c r="F202">
        <f>VLOOKUP(A202,[2]shown_tract_married_rP_gF_pall!$A$2:$C$378,3,0)</f>
        <v>0.43719999999999998</v>
      </c>
      <c r="G202">
        <f>VLOOKUP(A202,[3]shown_tract_median_rent2016!$A$2:$C$378,3,0)</f>
        <v>1902</v>
      </c>
      <c r="H202">
        <f>VLOOKUP(A202,[5]shown_tract_singleparent_share2!$A$2:$C$378,3,0)</f>
        <v>8.6800000000000002E-2</v>
      </c>
    </row>
    <row r="203" spans="1:8" x14ac:dyDescent="0.2">
      <c r="A203">
        <v>24510250101</v>
      </c>
      <c r="B203" t="s">
        <v>130</v>
      </c>
      <c r="C203">
        <v>28901</v>
      </c>
      <c r="D203">
        <f>VLOOKUP(A203,[4]shown_tract_poor_share2016!$A$2:$C$378,3,0)</f>
        <v>0.22650000000000001</v>
      </c>
      <c r="E203">
        <f>VLOOKUP(A203,[1]shown_tract_teenbirth_rP_gF_pal!$A$2:$C$378,3,0)</f>
        <v>0.41420000000000001</v>
      </c>
      <c r="F203">
        <f>VLOOKUP(A203,[2]shown_tract_married_rP_gF_pall!$A$2:$C$378,3,0)</f>
        <v>0.1515</v>
      </c>
      <c r="G203">
        <f>VLOOKUP(A203,[3]shown_tract_median_rent2016!$A$2:$C$378,3,0)</f>
        <v>978</v>
      </c>
      <c r="H203">
        <f>VLOOKUP(A203,[5]shown_tract_singleparent_share2!$A$2:$C$378,3,0)</f>
        <v>0.874</v>
      </c>
    </row>
    <row r="204" spans="1:8" x14ac:dyDescent="0.2">
      <c r="A204">
        <v>24510250102</v>
      </c>
      <c r="B204" t="s">
        <v>131</v>
      </c>
      <c r="C204">
        <v>25562</v>
      </c>
      <c r="D204">
        <f>VLOOKUP(A204,[4]shown_tract_poor_share2016!$A$2:$C$378,3,0)</f>
        <v>0.14280000000000001</v>
      </c>
      <c r="E204">
        <f>VLOOKUP(A204,[1]shown_tract_teenbirth_rP_gF_pal!$A$2:$C$378,3,0)</f>
        <v>0.40870000000000001</v>
      </c>
      <c r="F204">
        <f>VLOOKUP(A204,[2]shown_tract_married_rP_gF_pall!$A$2:$C$378,3,0)</f>
        <v>0.1177</v>
      </c>
      <c r="G204">
        <f>VLOOKUP(A204,[3]shown_tract_median_rent2016!$A$2:$C$378,3,0)</f>
        <v>1044</v>
      </c>
      <c r="H204">
        <f>VLOOKUP(A204,[5]shown_tract_singleparent_share2!$A$2:$C$378,3,0)</f>
        <v>0.8458</v>
      </c>
    </row>
    <row r="205" spans="1:8" x14ac:dyDescent="0.2">
      <c r="A205">
        <v>24510250103</v>
      </c>
      <c r="B205" t="s">
        <v>132</v>
      </c>
      <c r="C205">
        <v>40634</v>
      </c>
      <c r="D205">
        <f>VLOOKUP(A205,[4]shown_tract_poor_share2016!$A$2:$C$378,3,0)</f>
        <v>0.1865</v>
      </c>
      <c r="E205">
        <f>VLOOKUP(A205,[1]shown_tract_teenbirth_rP_gF_pal!$A$2:$C$378,3,0)</f>
        <v>0.17810000000000001</v>
      </c>
      <c r="F205">
        <f>VLOOKUP(A205,[2]shown_tract_married_rP_gF_pall!$A$2:$C$378,3,0)</f>
        <v>0.41880000000000001</v>
      </c>
      <c r="G205">
        <f>VLOOKUP(A205,[3]shown_tract_median_rent2016!$A$2:$C$378,3,0)</f>
        <v>594</v>
      </c>
      <c r="H205">
        <f>VLOOKUP(A205,[5]shown_tract_singleparent_share2!$A$2:$C$378,3,0)</f>
        <v>0.43219999999999997</v>
      </c>
    </row>
    <row r="206" spans="1:8" x14ac:dyDescent="0.2">
      <c r="A206">
        <v>24510250203</v>
      </c>
      <c r="B206" t="s">
        <v>133</v>
      </c>
      <c r="C206">
        <v>21642</v>
      </c>
      <c r="D206">
        <f>VLOOKUP(A206,[4]shown_tract_poor_share2016!$A$2:$C$378,3,0)</f>
        <v>0.25990000000000002</v>
      </c>
      <c r="E206">
        <f>VLOOKUP(A206,[1]shown_tract_teenbirth_rP_gF_pal!$A$2:$C$378,3,0)</f>
        <v>0.51390000000000002</v>
      </c>
      <c r="F206">
        <f>VLOOKUP(A206,[2]shown_tract_married_rP_gF_pall!$A$2:$C$378,3,0)</f>
        <v>0.14599999999999999</v>
      </c>
      <c r="G206">
        <f>VLOOKUP(A206,[3]shown_tract_median_rent2016!$A$2:$C$378,3,0)</f>
        <v>1064</v>
      </c>
      <c r="H206">
        <f>VLOOKUP(A206,[5]shown_tract_singleparent_share2!$A$2:$C$378,3,0)</f>
        <v>0.67889999999999995</v>
      </c>
    </row>
    <row r="207" spans="1:8" x14ac:dyDescent="0.2">
      <c r="A207">
        <v>24510250204</v>
      </c>
      <c r="B207" t="s">
        <v>133</v>
      </c>
      <c r="C207">
        <v>17902</v>
      </c>
      <c r="D207">
        <f>VLOOKUP(A207,[4]shown_tract_poor_share2016!$A$2:$C$378,3,0)</f>
        <v>0.6532</v>
      </c>
      <c r="E207">
        <f>VLOOKUP(A207,[1]shown_tract_teenbirth_rP_gF_pal!$A$2:$C$378,3,0)</f>
        <v>0.65610000000000002</v>
      </c>
      <c r="F207">
        <f>VLOOKUP(A207,[2]shown_tract_married_rP_gF_pall!$A$2:$C$378,3,0)</f>
        <v>0.06</v>
      </c>
      <c r="G207">
        <f>VLOOKUP(A207,[3]shown_tract_median_rent2016!$A$2:$C$378,3,0)</f>
        <v>278</v>
      </c>
      <c r="H207">
        <f>VLOOKUP(A207,[5]shown_tract_singleparent_share2!$A$2:$C$378,3,0)</f>
        <v>0.92759999999999998</v>
      </c>
    </row>
    <row r="208" spans="1:8" x14ac:dyDescent="0.2">
      <c r="A208">
        <v>24510250205</v>
      </c>
      <c r="B208" t="s">
        <v>134</v>
      </c>
      <c r="C208">
        <v>25836</v>
      </c>
      <c r="D208">
        <f>VLOOKUP(A208,[4]shown_tract_poor_share2016!$A$2:$C$378,3,0)</f>
        <v>0.16159999999999999</v>
      </c>
      <c r="E208">
        <f>VLOOKUP(A208,[1]shown_tract_teenbirth_rP_gF_pal!$A$2:$C$378,3,0)</f>
        <v>0.36259999999999998</v>
      </c>
      <c r="F208">
        <f>VLOOKUP(A208,[2]shown_tract_married_rP_gF_pall!$A$2:$C$378,3,0)</f>
        <v>0.23150000000000001</v>
      </c>
      <c r="G208">
        <f>VLOOKUP(A208,[3]shown_tract_median_rent2016!$A$2:$C$378,3,0)</f>
        <v>1085</v>
      </c>
      <c r="H208">
        <f>VLOOKUP(A208,[5]shown_tract_singleparent_share2!$A$2:$C$378,3,0)</f>
        <v>0.59599999999999997</v>
      </c>
    </row>
    <row r="209" spans="1:8" x14ac:dyDescent="0.2">
      <c r="A209">
        <v>24510250206</v>
      </c>
      <c r="B209" t="s">
        <v>135</v>
      </c>
      <c r="C209">
        <v>33943</v>
      </c>
      <c r="D209">
        <f>VLOOKUP(A209,[4]shown_tract_poor_share2016!$A$2:$C$378,3,0)</f>
        <v>0.20630000000000001</v>
      </c>
      <c r="E209">
        <f>VLOOKUP(A209,[1]shown_tract_teenbirth_rP_gF_pal!$A$2:$C$378,3,0)</f>
        <v>0.24829999999999999</v>
      </c>
      <c r="F209">
        <f>VLOOKUP(A209,[2]shown_tract_married_rP_gF_pall!$A$2:$C$378,3,0)</f>
        <v>0.35849999999999999</v>
      </c>
      <c r="G209">
        <f>VLOOKUP(A209,[3]shown_tract_median_rent2016!$A$2:$C$378,3,0)</f>
        <v>954</v>
      </c>
      <c r="H209">
        <f>VLOOKUP(A209,[5]shown_tract_singleparent_share2!$A$2:$C$378,3,0)</f>
        <v>0.21210000000000001</v>
      </c>
    </row>
    <row r="210" spans="1:8" x14ac:dyDescent="0.2">
      <c r="A210">
        <v>24510250207</v>
      </c>
      <c r="B210" t="s">
        <v>133</v>
      </c>
      <c r="C210">
        <v>22207</v>
      </c>
      <c r="D210">
        <f>VLOOKUP(A210,[4]shown_tract_poor_share2016!$A$2:$C$378,3,0)</f>
        <v>0.2021</v>
      </c>
      <c r="E210">
        <f>VLOOKUP(A210,[1]shown_tract_teenbirth_rP_gF_pal!$A$2:$C$378,3,0)</f>
        <v>0.504</v>
      </c>
      <c r="F210">
        <f>VLOOKUP(A210,[2]shown_tract_married_rP_gF_pall!$A$2:$C$378,3,0)</f>
        <v>0.1065</v>
      </c>
      <c r="G210">
        <f>VLOOKUP(A210,[3]shown_tract_median_rent2016!$A$2:$C$378,3,0)</f>
        <v>888</v>
      </c>
      <c r="H210">
        <f>VLOOKUP(A210,[5]shown_tract_singleparent_share2!$A$2:$C$378,3,0)</f>
        <v>0.66220000000000001</v>
      </c>
    </row>
    <row r="211" spans="1:8" x14ac:dyDescent="0.2">
      <c r="A211">
        <v>24510250301</v>
      </c>
      <c r="B211" t="s">
        <v>136</v>
      </c>
      <c r="C211">
        <v>19279</v>
      </c>
      <c r="D211">
        <f>VLOOKUP(A211,[4]shown_tract_poor_share2016!$A$2:$C$378,3,0)</f>
        <v>0.33550000000000002</v>
      </c>
      <c r="E211">
        <f>VLOOKUP(A211,[1]shown_tract_teenbirth_rP_gF_pal!$A$2:$C$378,3,0)</f>
        <v>0.52680000000000005</v>
      </c>
      <c r="F211">
        <f>VLOOKUP(A211,[2]shown_tract_married_rP_gF_pall!$A$2:$C$378,3,0)</f>
        <v>0.13150000000000001</v>
      </c>
      <c r="G211">
        <f>VLOOKUP(A211,[3]shown_tract_median_rent2016!$A$2:$C$378,3,0)</f>
        <v>299</v>
      </c>
      <c r="H211">
        <f>VLOOKUP(A211,[5]shown_tract_singleparent_share2!$A$2:$C$378,3,0)</f>
        <v>1</v>
      </c>
    </row>
    <row r="212" spans="1:8" x14ac:dyDescent="0.2">
      <c r="A212">
        <v>24510250303</v>
      </c>
      <c r="B212" t="s">
        <v>135</v>
      </c>
      <c r="C212">
        <v>31533</v>
      </c>
      <c r="D212">
        <f>VLOOKUP(A212,[4]shown_tract_poor_share2016!$A$2:$C$378,3,0)</f>
        <v>0.35549999999999998</v>
      </c>
      <c r="E212">
        <f>VLOOKUP(A212,[1]shown_tract_teenbirth_rP_gF_pal!$A$2:$C$378,3,0)</f>
        <v>0.35339999999999999</v>
      </c>
      <c r="F212">
        <f>VLOOKUP(A212,[2]shown_tract_married_rP_gF_pall!$A$2:$C$378,3,0)</f>
        <v>0.38750000000000001</v>
      </c>
      <c r="G212">
        <f>VLOOKUP(A212,[3]shown_tract_median_rent2016!$A$2:$C$378,3,0)</f>
        <v>940</v>
      </c>
      <c r="H212">
        <f>VLOOKUP(A212,[5]shown_tract_singleparent_share2!$A$2:$C$378,3,0)</f>
        <v>0.48480000000000001</v>
      </c>
    </row>
    <row r="213" spans="1:8" x14ac:dyDescent="0.2">
      <c r="A213">
        <v>24510250401</v>
      </c>
      <c r="B213" t="s">
        <v>116</v>
      </c>
      <c r="C213">
        <v>31454</v>
      </c>
      <c r="D213">
        <f>VLOOKUP(A213,[4]shown_tract_poor_share2016!$A$2:$C$378,3,0)</f>
        <v>0.21990000000000001</v>
      </c>
      <c r="E213">
        <f>VLOOKUP(A213,[1]shown_tract_teenbirth_rP_gF_pal!$A$2:$C$378,3,0)</f>
        <v>0.25419999999999998</v>
      </c>
      <c r="F213">
        <f>VLOOKUP(A213,[2]shown_tract_married_rP_gF_pall!$A$2:$C$378,3,0)</f>
        <v>0.37009999999999998</v>
      </c>
      <c r="G213">
        <f>VLOOKUP(A213,[3]shown_tract_median_rent2016!$A$2:$C$378,3,0)</f>
        <v>967</v>
      </c>
      <c r="H213">
        <f>VLOOKUP(A213,[5]shown_tract_singleparent_share2!$A$2:$C$378,3,0)</f>
        <v>0.6885</v>
      </c>
    </row>
    <row r="214" spans="1:8" x14ac:dyDescent="0.2">
      <c r="A214">
        <v>24510250402</v>
      </c>
      <c r="B214" t="s">
        <v>116</v>
      </c>
      <c r="C214">
        <v>25348</v>
      </c>
      <c r="D214">
        <f>VLOOKUP(A214,[4]shown_tract_poor_share2016!$A$2:$C$378,3,0)</f>
        <v>0.3518</v>
      </c>
      <c r="E214">
        <f>VLOOKUP(A214,[1]shown_tract_teenbirth_rP_gF_pal!$A$2:$C$378,3,0)</f>
        <v>0.4078</v>
      </c>
      <c r="F214">
        <f>VLOOKUP(A214,[2]shown_tract_married_rP_gF_pall!$A$2:$C$378,3,0)</f>
        <v>0.2681</v>
      </c>
      <c r="G214">
        <f>VLOOKUP(A214,[3]shown_tract_median_rent2016!$A$2:$C$378,3,0)</f>
        <v>765</v>
      </c>
      <c r="H214">
        <f>VLOOKUP(A214,[5]shown_tract_singleparent_share2!$A$2:$C$378,3,0)</f>
        <v>0.62929999999999997</v>
      </c>
    </row>
    <row r="215" spans="1:8" x14ac:dyDescent="0.2">
      <c r="A215">
        <v>24510250500</v>
      </c>
      <c r="B215" t="s">
        <v>137</v>
      </c>
      <c r="C215">
        <v>24644</v>
      </c>
      <c r="D215">
        <f>VLOOKUP(A215,[4]shown_tract_poor_share2016!$A$2:$C$378,3,0)</f>
        <v>0.31780000000000003</v>
      </c>
      <c r="E215">
        <f>VLOOKUP(A215,[1]shown_tract_teenbirth_rP_gF_pal!$A$2:$C$378,3,0)</f>
        <v>0.35599999999999998</v>
      </c>
      <c r="F215">
        <f>VLOOKUP(A215,[2]shown_tract_married_rP_gF_pall!$A$2:$C$378,3,0)</f>
        <v>0.24510000000000001</v>
      </c>
      <c r="G215">
        <f>VLOOKUP(A215,[3]shown_tract_median_rent2016!$A$2:$C$378,3,0)</f>
        <v>912</v>
      </c>
      <c r="H215">
        <f>VLOOKUP(A215,[5]shown_tract_singleparent_share2!$A$2:$C$378,3,0)</f>
        <v>0.65100000000000002</v>
      </c>
    </row>
    <row r="216" spans="1:8" x14ac:dyDescent="0.2">
      <c r="A216">
        <v>24510250600</v>
      </c>
      <c r="B216" t="s">
        <v>116</v>
      </c>
      <c r="C216">
        <v>23009</v>
      </c>
      <c r="D216" t="e">
        <f>VLOOKUP(A216,[4]shown_tract_poor_share2016!$A$2:$C$378,3,0)</f>
        <v>#REF!</v>
      </c>
      <c r="E216">
        <f>VLOOKUP(A216,[1]shown_tract_teenbirth_rP_gF_pal!$A$2:$C$378,3,0)</f>
        <v>0.4612</v>
      </c>
      <c r="F216">
        <f>VLOOKUP(A216,[2]shown_tract_married_rP_gF_pall!$A$2:$C$378,3,0)</f>
        <v>0.31619999999999998</v>
      </c>
      <c r="G216" t="e">
        <f>VLOOKUP(A216,[3]shown_tract_median_rent2016!$A$2:$C$378,3,0)</f>
        <v>#REF!</v>
      </c>
      <c r="H216" t="e">
        <f>VLOOKUP(A216,[5]shown_tract_singleparent_share2!$A$2:$C$378,3,0)</f>
        <v>#REF!</v>
      </c>
    </row>
    <row r="217" spans="1:8" x14ac:dyDescent="0.2">
      <c r="A217">
        <v>24510260604</v>
      </c>
      <c r="B217" t="s">
        <v>138</v>
      </c>
      <c r="C217">
        <v>19532</v>
      </c>
      <c r="D217">
        <f>VLOOKUP(A217,[4]shown_tract_poor_share2016!$A$2:$C$378,3,0)</f>
        <v>0.42909999999999998</v>
      </c>
      <c r="E217">
        <f>VLOOKUP(A217,[1]shown_tract_teenbirth_rP_gF_pal!$A$2:$C$378,3,0)</f>
        <v>0.5111</v>
      </c>
      <c r="F217">
        <f>VLOOKUP(A217,[2]shown_tract_married_rP_gF_pall!$A$2:$C$378,3,0)</f>
        <v>0.17510000000000001</v>
      </c>
      <c r="G217">
        <f>VLOOKUP(A217,[3]shown_tract_median_rent2016!$A$2:$C$378,3,0)</f>
        <v>301</v>
      </c>
      <c r="H217">
        <f>VLOOKUP(A217,[5]shown_tract_singleparent_share2!$A$2:$C$378,3,0)</f>
        <v>0.85599999999999998</v>
      </c>
    </row>
    <row r="218" spans="1:8" x14ac:dyDescent="0.2">
      <c r="A218">
        <v>24510260605</v>
      </c>
      <c r="B218" t="s">
        <v>139</v>
      </c>
      <c r="C218">
        <v>34779</v>
      </c>
      <c r="D218">
        <f>VLOOKUP(A218,[4]shown_tract_poor_share2016!$A$2:$C$378,3,0)</f>
        <v>0.26750000000000002</v>
      </c>
      <c r="E218">
        <f>VLOOKUP(A218,[1]shown_tract_teenbirth_rP_gF_pal!$A$2:$C$378,3,0)</f>
        <v>0.29160000000000003</v>
      </c>
      <c r="F218">
        <f>VLOOKUP(A218,[2]shown_tract_married_rP_gF_pall!$A$2:$C$378,3,0)</f>
        <v>0.43690000000000001</v>
      </c>
      <c r="G218">
        <f>VLOOKUP(A218,[3]shown_tract_median_rent2016!$A$2:$C$378,3,0)</f>
        <v>951</v>
      </c>
      <c r="H218">
        <f>VLOOKUP(A218,[5]shown_tract_singleparent_share2!$A$2:$C$378,3,0)</f>
        <v>0.43630000000000002</v>
      </c>
    </row>
  </sheetData>
  <sortState xmlns:xlrd2="http://schemas.microsoft.com/office/spreadsheetml/2017/richdata2" ref="A2:C171">
    <sortCondition ref="A2:A171"/>
  </sortState>
  <pageMargins left="0.75" right="0.75" top="1" bottom="1" header="0.5" footer="0.5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1:J21"/>
  <sheetViews>
    <sheetView workbookViewId="0">
      <selection activeCell="E8" sqref="E8"/>
    </sheetView>
  </sheetViews>
  <sheetFormatPr baseColWidth="10" defaultRowHeight="16" x14ac:dyDescent="0.2"/>
  <cols>
    <col min="2" max="2" width="15.5" customWidth="1"/>
    <col min="4" max="4" width="13.1640625" customWidth="1"/>
  </cols>
  <sheetData>
    <row r="1" spans="2:10" x14ac:dyDescent="0.2">
      <c r="B1" t="s">
        <v>146</v>
      </c>
      <c r="D1" t="s">
        <v>194</v>
      </c>
    </row>
    <row r="2" spans="2:10" ht="17" thickBot="1" x14ac:dyDescent="0.25"/>
    <row r="3" spans="2:10" x14ac:dyDescent="0.2">
      <c r="B3" s="4" t="s">
        <v>147</v>
      </c>
      <c r="C3" s="4"/>
    </row>
    <row r="4" spans="2:10" x14ac:dyDescent="0.2">
      <c r="B4" s="1" t="s">
        <v>148</v>
      </c>
      <c r="C4" s="1">
        <v>0.77045041823177152</v>
      </c>
    </row>
    <row r="5" spans="2:10" x14ac:dyDescent="0.2">
      <c r="B5" s="1" t="s">
        <v>149</v>
      </c>
      <c r="C5" s="1">
        <v>0.59359384695351169</v>
      </c>
    </row>
    <row r="6" spans="2:10" x14ac:dyDescent="0.2">
      <c r="B6" s="1" t="s">
        <v>150</v>
      </c>
      <c r="C6" s="1">
        <v>0.58592580632999303</v>
      </c>
    </row>
    <row r="7" spans="2:10" x14ac:dyDescent="0.2">
      <c r="B7" s="1" t="s">
        <v>151</v>
      </c>
      <c r="C7" s="1">
        <v>8.4083576838939911E-2</v>
      </c>
    </row>
    <row r="8" spans="2:10" ht="17" thickBot="1" x14ac:dyDescent="0.25">
      <c r="B8" s="2" t="s">
        <v>152</v>
      </c>
      <c r="C8" s="2">
        <v>217</v>
      </c>
    </row>
    <row r="10" spans="2:10" ht="17" thickBot="1" x14ac:dyDescent="0.25">
      <c r="B10" t="s">
        <v>153</v>
      </c>
    </row>
    <row r="11" spans="2:10" x14ac:dyDescent="0.2">
      <c r="B11" s="3"/>
      <c r="C11" s="3" t="s">
        <v>158</v>
      </c>
      <c r="D11" s="3" t="s">
        <v>159</v>
      </c>
      <c r="E11" s="3" t="s">
        <v>160</v>
      </c>
      <c r="F11" s="3" t="s">
        <v>161</v>
      </c>
      <c r="G11" s="3" t="s">
        <v>162</v>
      </c>
    </row>
    <row r="12" spans="2:10" x14ac:dyDescent="0.2">
      <c r="B12" s="1" t="s">
        <v>154</v>
      </c>
      <c r="C12" s="1">
        <v>4</v>
      </c>
      <c r="D12" s="1">
        <v>2.1892095431476859</v>
      </c>
      <c r="E12" s="1">
        <v>0.54730238578692147</v>
      </c>
      <c r="F12" s="1">
        <v>77.411411349712964</v>
      </c>
      <c r="G12" s="1">
        <v>2.2668997467360398E-40</v>
      </c>
    </row>
    <row r="13" spans="2:10" x14ac:dyDescent="0.2">
      <c r="B13" s="1" t="s">
        <v>155</v>
      </c>
      <c r="C13" s="1">
        <v>212</v>
      </c>
      <c r="D13" s="1">
        <v>1.4988501535343415</v>
      </c>
      <c r="E13" s="1">
        <v>7.0700478940299129E-3</v>
      </c>
      <c r="F13" s="1"/>
      <c r="G13" s="1"/>
    </row>
    <row r="14" spans="2:10" ht="17" thickBot="1" x14ac:dyDescent="0.25">
      <c r="B14" s="2" t="s">
        <v>156</v>
      </c>
      <c r="C14" s="2">
        <v>216</v>
      </c>
      <c r="D14" s="2">
        <v>3.6880596966820276</v>
      </c>
      <c r="E14" s="2"/>
      <c r="F14" s="2"/>
      <c r="G14" s="2"/>
    </row>
    <row r="15" spans="2:10" ht="17" thickBot="1" x14ac:dyDescent="0.25"/>
    <row r="16" spans="2:10" x14ac:dyDescent="0.2">
      <c r="B16" s="3"/>
      <c r="C16" s="3" t="s">
        <v>163</v>
      </c>
      <c r="D16" s="3" t="s">
        <v>151</v>
      </c>
      <c r="E16" s="3" t="s">
        <v>164</v>
      </c>
      <c r="F16" s="3" t="s">
        <v>165</v>
      </c>
      <c r="G16" s="3" t="s">
        <v>166</v>
      </c>
      <c r="H16" s="3" t="s">
        <v>167</v>
      </c>
      <c r="I16" s="3" t="s">
        <v>168</v>
      </c>
      <c r="J16" s="3" t="s">
        <v>169</v>
      </c>
    </row>
    <row r="17" spans="2:10" x14ac:dyDescent="0.2">
      <c r="B17" s="1" t="s">
        <v>157</v>
      </c>
      <c r="C17" s="1">
        <v>7.6520584890227686E-2</v>
      </c>
      <c r="D17" s="1">
        <v>6.1067861250535913E-2</v>
      </c>
      <c r="E17" s="1">
        <v>1.2530418344977845</v>
      </c>
      <c r="F17" s="1">
        <v>0.21157076411728165</v>
      </c>
      <c r="G17" s="1">
        <v>-4.3857422126734547E-2</v>
      </c>
      <c r="H17" s="1">
        <v>0.19689859190718992</v>
      </c>
      <c r="I17" s="1">
        <v>-4.3857422126734547E-2</v>
      </c>
      <c r="J17" s="1">
        <v>0.19689859190718992</v>
      </c>
    </row>
    <row r="18" spans="2:10" x14ac:dyDescent="0.2">
      <c r="B18" s="1" t="s">
        <v>141</v>
      </c>
      <c r="C18" s="1">
        <v>0.42803352665628014</v>
      </c>
      <c r="D18" s="1">
        <v>8.5869051619975809E-2</v>
      </c>
      <c r="E18" s="1">
        <v>4.9847240487829758</v>
      </c>
      <c r="F18" s="1">
        <v>1.2879445008264253E-6</v>
      </c>
      <c r="G18" s="1">
        <v>0.25876699125164243</v>
      </c>
      <c r="H18" s="1">
        <v>0.5973000620609179</v>
      </c>
      <c r="I18" s="1">
        <v>0.25876699125164243</v>
      </c>
      <c r="J18" s="1">
        <v>0.5973000620609179</v>
      </c>
    </row>
    <row r="19" spans="2:10" x14ac:dyDescent="0.2">
      <c r="B19" s="1" t="s">
        <v>142</v>
      </c>
      <c r="C19" s="1">
        <v>7.7620561486328163E-2</v>
      </c>
      <c r="D19" s="1">
        <v>8.6459510922767824E-2</v>
      </c>
      <c r="E19" s="1">
        <v>0.89776776039902328</v>
      </c>
      <c r="F19" s="1">
        <v>0.37032780589262349</v>
      </c>
      <c r="G19" s="1">
        <v>-9.2809897341190231E-2</v>
      </c>
      <c r="H19" s="1">
        <v>0.24805102031384657</v>
      </c>
      <c r="I19" s="1">
        <v>-9.2809897341190231E-2</v>
      </c>
      <c r="J19" s="1">
        <v>0.24805102031384657</v>
      </c>
    </row>
    <row r="20" spans="2:10" x14ac:dyDescent="0.2">
      <c r="B20" s="1" t="s">
        <v>143</v>
      </c>
      <c r="C20" s="1">
        <v>-9.0390972194917974E-5</v>
      </c>
      <c r="D20" s="1">
        <v>1.9017133328923027E-5</v>
      </c>
      <c r="E20" s="1">
        <v>-4.7531334313906797</v>
      </c>
      <c r="F20" s="1">
        <v>3.6937326719318924E-6</v>
      </c>
      <c r="G20" s="1">
        <v>-1.2787786894277996E-4</v>
      </c>
      <c r="H20" s="1">
        <v>-5.2904075447055979E-5</v>
      </c>
      <c r="I20" s="1">
        <v>-1.2787786894277996E-4</v>
      </c>
      <c r="J20" s="1">
        <v>-5.2904075447055979E-5</v>
      </c>
    </row>
    <row r="21" spans="2:10" ht="17" thickBot="1" x14ac:dyDescent="0.25">
      <c r="B21" s="2" t="s">
        <v>145</v>
      </c>
      <c r="C21" s="2">
        <v>0.12344896770197386</v>
      </c>
      <c r="D21" s="2">
        <v>3.251490839450516E-2</v>
      </c>
      <c r="E21" s="2">
        <v>3.7966881592948316</v>
      </c>
      <c r="F21" s="2">
        <v>1.9144476782941366E-4</v>
      </c>
      <c r="G21" s="2">
        <v>5.9355027113293476E-2</v>
      </c>
      <c r="H21" s="2">
        <v>0.18754290829065423</v>
      </c>
      <c r="I21" s="2">
        <v>5.9355027113293476E-2</v>
      </c>
      <c r="J21" s="2">
        <v>0.18754290829065423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8"/>
  <sheetViews>
    <sheetView workbookViewId="0">
      <selection activeCell="L15" sqref="L15"/>
    </sheetView>
  </sheetViews>
  <sheetFormatPr baseColWidth="10" defaultRowHeight="16" x14ac:dyDescent="0.2"/>
  <sheetData>
    <row r="1" spans="1:9" x14ac:dyDescent="0.2">
      <c r="A1" t="s">
        <v>146</v>
      </c>
    </row>
    <row r="2" spans="1:9" ht="17" thickBot="1" x14ac:dyDescent="0.25"/>
    <row r="3" spans="1:9" x14ac:dyDescent="0.2">
      <c r="A3" s="4" t="s">
        <v>147</v>
      </c>
      <c r="B3" s="4"/>
    </row>
    <row r="4" spans="1:9" x14ac:dyDescent="0.2">
      <c r="A4" s="1" t="s">
        <v>148</v>
      </c>
      <c r="B4" s="1">
        <v>0.73017094730612198</v>
      </c>
    </row>
    <row r="5" spans="1:9" x14ac:dyDescent="0.2">
      <c r="A5" s="1" t="s">
        <v>149</v>
      </c>
      <c r="B5" s="1">
        <v>0.53314961228991953</v>
      </c>
    </row>
    <row r="6" spans="1:9" x14ac:dyDescent="0.2">
      <c r="A6" s="1" t="s">
        <v>150</v>
      </c>
      <c r="B6" s="1">
        <v>0.53097821513777965</v>
      </c>
    </row>
    <row r="7" spans="1:9" x14ac:dyDescent="0.2">
      <c r="A7" s="1" t="s">
        <v>151</v>
      </c>
      <c r="B7" s="1">
        <v>0.19340081968461661</v>
      </c>
    </row>
    <row r="8" spans="1:9" ht="17" thickBot="1" x14ac:dyDescent="0.25">
      <c r="A8" s="2" t="s">
        <v>152</v>
      </c>
      <c r="B8" s="2">
        <v>217</v>
      </c>
    </row>
    <row r="10" spans="1:9" ht="17" thickBot="1" x14ac:dyDescent="0.25">
      <c r="A10" t="s">
        <v>153</v>
      </c>
    </row>
    <row r="11" spans="1:9" x14ac:dyDescent="0.2">
      <c r="A11" s="3"/>
      <c r="B11" s="3" t="s">
        <v>158</v>
      </c>
      <c r="C11" s="3" t="s">
        <v>159</v>
      </c>
      <c r="D11" s="3" t="s">
        <v>160</v>
      </c>
      <c r="E11" s="3" t="s">
        <v>161</v>
      </c>
      <c r="F11" s="3" t="s">
        <v>162</v>
      </c>
    </row>
    <row r="12" spans="1:9" x14ac:dyDescent="0.2">
      <c r="A12" s="1" t="s">
        <v>154</v>
      </c>
      <c r="B12" s="1">
        <v>1</v>
      </c>
      <c r="C12" s="1">
        <v>9.183885375455441</v>
      </c>
      <c r="D12" s="1">
        <v>9.183885375455441</v>
      </c>
      <c r="E12" s="1">
        <v>245.5329794296272</v>
      </c>
      <c r="F12" s="1">
        <v>2.0261018548172E-37</v>
      </c>
    </row>
    <row r="13" spans="1:9" x14ac:dyDescent="0.2">
      <c r="A13" s="1" t="s">
        <v>155</v>
      </c>
      <c r="B13" s="1">
        <v>215</v>
      </c>
      <c r="C13" s="1">
        <v>8.0418335667565426</v>
      </c>
      <c r="D13" s="1">
        <v>3.7403877054681595E-2</v>
      </c>
      <c r="E13" s="1"/>
      <c r="F13" s="1"/>
    </row>
    <row r="14" spans="1:9" ht="17" thickBot="1" x14ac:dyDescent="0.25">
      <c r="A14" s="2" t="s">
        <v>156</v>
      </c>
      <c r="B14" s="2">
        <v>216</v>
      </c>
      <c r="C14" s="2">
        <v>17.225718942211984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163</v>
      </c>
      <c r="C16" s="3" t="s">
        <v>151</v>
      </c>
      <c r="D16" s="3" t="s">
        <v>164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x14ac:dyDescent="0.2">
      <c r="A17" s="1" t="s">
        <v>157</v>
      </c>
      <c r="B17" s="1">
        <v>5.7883963331247346E-2</v>
      </c>
      <c r="C17" s="1">
        <v>3.5232292728287241E-2</v>
      </c>
      <c r="D17" s="1">
        <v>1.6429235468055012</v>
      </c>
      <c r="E17" s="1">
        <v>0.10186041107298074</v>
      </c>
      <c r="F17" s="1">
        <v>-1.1560968644526201E-2</v>
      </c>
      <c r="G17" s="1">
        <v>0.12732889530702091</v>
      </c>
      <c r="H17" s="1">
        <v>-1.1560968644526201E-2</v>
      </c>
      <c r="I17" s="1">
        <v>0.12732889530702091</v>
      </c>
    </row>
    <row r="18" spans="1:9" ht="17" thickBot="1" x14ac:dyDescent="0.25">
      <c r="A18" s="2" t="s">
        <v>141</v>
      </c>
      <c r="B18" s="2">
        <v>1.3425023844886361</v>
      </c>
      <c r="C18" s="2">
        <v>8.5676190701337779E-2</v>
      </c>
      <c r="D18" s="2">
        <v>15.669491996539872</v>
      </c>
      <c r="E18" s="2">
        <v>2.0261018548173157E-37</v>
      </c>
      <c r="F18" s="2">
        <v>1.1736295472571023</v>
      </c>
      <c r="G18" s="2">
        <v>1.5113752217201699</v>
      </c>
      <c r="H18" s="2">
        <v>1.1736295472571023</v>
      </c>
      <c r="I18" s="2">
        <v>1.5113752217201699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57"/>
  <sheetViews>
    <sheetView workbookViewId="0">
      <selection activeCell="A2" sqref="A2:H57"/>
    </sheetView>
  </sheetViews>
  <sheetFormatPr baseColWidth="10" defaultRowHeight="16" x14ac:dyDescent="0.2"/>
  <cols>
    <col min="2" max="2" width="19.6640625" customWidth="1"/>
    <col min="3" max="8" width="16.6640625" customWidth="1"/>
  </cols>
  <sheetData>
    <row r="1" spans="1:8" x14ac:dyDescent="0.2">
      <c r="A1" t="s">
        <v>0</v>
      </c>
      <c r="B1" t="s">
        <v>1</v>
      </c>
      <c r="C1" t="s">
        <v>140</v>
      </c>
      <c r="D1" t="s">
        <v>144</v>
      </c>
      <c r="E1" t="s">
        <v>141</v>
      </c>
      <c r="F1" t="s">
        <v>142</v>
      </c>
      <c r="G1" t="s">
        <v>143</v>
      </c>
      <c r="H1" t="s">
        <v>145</v>
      </c>
    </row>
    <row r="2" spans="1:8" x14ac:dyDescent="0.2">
      <c r="A2">
        <v>10005051205</v>
      </c>
      <c r="B2" t="s">
        <v>170</v>
      </c>
      <c r="C2">
        <v>66023</v>
      </c>
      <c r="D2">
        <v>3.73E-2</v>
      </c>
      <c r="E2">
        <v>8.5300000000000001E-2</v>
      </c>
      <c r="F2">
        <v>0.48120000000000002</v>
      </c>
      <c r="G2">
        <v>1108</v>
      </c>
      <c r="H2">
        <v>0</v>
      </c>
    </row>
    <row r="3" spans="1:8" x14ac:dyDescent="0.2">
      <c r="A3">
        <v>10005051102</v>
      </c>
      <c r="B3" t="s">
        <v>171</v>
      </c>
      <c r="C3">
        <v>65613</v>
      </c>
      <c r="D3">
        <v>4.9399999999999999E-2</v>
      </c>
      <c r="E3">
        <v>0.16719999999999999</v>
      </c>
      <c r="F3">
        <v>0.53900000000000003</v>
      </c>
      <c r="G3">
        <v>1118</v>
      </c>
      <c r="H3">
        <v>0.90910000000000002</v>
      </c>
    </row>
    <row r="4" spans="1:8" x14ac:dyDescent="0.2">
      <c r="A4">
        <v>10005051101</v>
      </c>
      <c r="B4" t="s">
        <v>171</v>
      </c>
      <c r="C4">
        <v>64321</v>
      </c>
      <c r="D4">
        <v>7.8600000000000003E-2</v>
      </c>
      <c r="E4">
        <v>0</v>
      </c>
      <c r="F4">
        <v>0.49830000000000002</v>
      </c>
      <c r="G4">
        <v>919</v>
      </c>
      <c r="H4">
        <v>0.16669999999999999</v>
      </c>
    </row>
    <row r="5" spans="1:8" x14ac:dyDescent="0.2">
      <c r="A5">
        <v>10005051301</v>
      </c>
      <c r="B5" t="s">
        <v>172</v>
      </c>
      <c r="C5">
        <v>59174</v>
      </c>
      <c r="D5">
        <v>9.3299999999999994E-2</v>
      </c>
      <c r="E5">
        <v>9.8699999999999996E-2</v>
      </c>
      <c r="F5">
        <v>0.53469999999999995</v>
      </c>
      <c r="G5">
        <v>1150</v>
      </c>
      <c r="H5">
        <v>0.37059999999999998</v>
      </c>
    </row>
    <row r="6" spans="1:8" x14ac:dyDescent="0.2">
      <c r="A6">
        <v>10005050103</v>
      </c>
      <c r="B6" t="s">
        <v>173</v>
      </c>
      <c r="C6">
        <v>57938</v>
      </c>
      <c r="D6">
        <v>5.4600000000000003E-2</v>
      </c>
      <c r="E6">
        <v>0.20730000000000001</v>
      </c>
      <c r="F6">
        <v>0.48039999999999999</v>
      </c>
      <c r="G6">
        <v>1195</v>
      </c>
      <c r="H6">
        <v>0.10059999999999999</v>
      </c>
    </row>
    <row r="7" spans="1:8" x14ac:dyDescent="0.2">
      <c r="A7">
        <v>10005051007</v>
      </c>
      <c r="B7" t="s">
        <v>171</v>
      </c>
      <c r="C7">
        <v>56632</v>
      </c>
      <c r="D7">
        <v>7.1199999999999999E-2</v>
      </c>
      <c r="E7">
        <v>6.8500000000000005E-2</v>
      </c>
      <c r="F7">
        <v>0.51470000000000005</v>
      </c>
      <c r="G7">
        <v>1194</v>
      </c>
      <c r="H7">
        <v>9.3200000000000005E-2</v>
      </c>
    </row>
    <row r="8" spans="1:8" x14ac:dyDescent="0.2">
      <c r="A8">
        <v>10005051004</v>
      </c>
      <c r="B8" t="s">
        <v>174</v>
      </c>
      <c r="C8">
        <v>56399</v>
      </c>
      <c r="D8">
        <v>9.9900000000000003E-2</v>
      </c>
      <c r="E8">
        <v>0.14019999999999999</v>
      </c>
      <c r="F8">
        <v>0.48549999999999999</v>
      </c>
      <c r="G8">
        <v>1198</v>
      </c>
      <c r="H8">
        <v>0.32119999999999999</v>
      </c>
    </row>
    <row r="9" spans="1:8" x14ac:dyDescent="0.2">
      <c r="A9">
        <v>10005050901</v>
      </c>
      <c r="B9" t="s">
        <v>174</v>
      </c>
      <c r="C9">
        <v>54283</v>
      </c>
      <c r="D9">
        <v>5.2600000000000001E-2</v>
      </c>
      <c r="E9">
        <v>1.38E-2</v>
      </c>
      <c r="F9">
        <v>0.5554</v>
      </c>
      <c r="G9">
        <v>1170</v>
      </c>
      <c r="H9">
        <v>0.23780000000000001</v>
      </c>
    </row>
    <row r="10" spans="1:8" x14ac:dyDescent="0.2">
      <c r="A10">
        <v>10005051103</v>
      </c>
      <c r="B10" t="s">
        <v>171</v>
      </c>
      <c r="C10">
        <v>52789</v>
      </c>
      <c r="D10">
        <v>6.7699999999999996E-2</v>
      </c>
      <c r="E10">
        <v>2.7799999999999998E-2</v>
      </c>
      <c r="F10">
        <v>0.47870000000000001</v>
      </c>
      <c r="G10">
        <v>1115</v>
      </c>
      <c r="H10">
        <v>0.1429</v>
      </c>
    </row>
    <row r="11" spans="1:8" x14ac:dyDescent="0.2">
      <c r="A11">
        <v>10005050902</v>
      </c>
      <c r="B11" t="s">
        <v>174</v>
      </c>
      <c r="C11">
        <v>51528</v>
      </c>
      <c r="D11">
        <v>4.9000000000000002E-2</v>
      </c>
      <c r="E11">
        <v>9.5699999999999993E-2</v>
      </c>
      <c r="F11">
        <v>0.4617</v>
      </c>
      <c r="G11">
        <v>1257</v>
      </c>
      <c r="H11">
        <v>0.40889999999999999</v>
      </c>
    </row>
    <row r="12" spans="1:8" x14ac:dyDescent="0.2">
      <c r="A12">
        <v>10005051306</v>
      </c>
      <c r="B12" t="s">
        <v>175</v>
      </c>
      <c r="C12">
        <v>51395</v>
      </c>
      <c r="D12">
        <v>8.5699999999999998E-2</v>
      </c>
      <c r="E12">
        <v>0.19189999999999999</v>
      </c>
      <c r="F12">
        <v>0.55020000000000002</v>
      </c>
      <c r="G12">
        <v>1116</v>
      </c>
      <c r="H12">
        <v>0.14710000000000001</v>
      </c>
    </row>
    <row r="13" spans="1:8" x14ac:dyDescent="0.2">
      <c r="A13">
        <v>10005050405</v>
      </c>
      <c r="B13" t="s">
        <v>176</v>
      </c>
      <c r="C13">
        <v>49824</v>
      </c>
      <c r="D13">
        <v>8.9099999999999999E-2</v>
      </c>
      <c r="E13">
        <v>0.21709999999999999</v>
      </c>
      <c r="F13">
        <v>0.50349999999999995</v>
      </c>
      <c r="G13">
        <v>921</v>
      </c>
      <c r="H13">
        <v>0.55969999999999998</v>
      </c>
    </row>
    <row r="14" spans="1:8" x14ac:dyDescent="0.2">
      <c r="A14">
        <v>10005050101</v>
      </c>
      <c r="B14" t="s">
        <v>173</v>
      </c>
      <c r="C14">
        <v>49807</v>
      </c>
      <c r="D14">
        <v>0.1028</v>
      </c>
      <c r="E14">
        <v>0.12479999999999999</v>
      </c>
      <c r="F14">
        <v>0.4672</v>
      </c>
      <c r="G14">
        <v>1153</v>
      </c>
      <c r="H14">
        <v>0.36880000000000002</v>
      </c>
    </row>
    <row r="15" spans="1:8" x14ac:dyDescent="0.2">
      <c r="A15">
        <v>10005051303</v>
      </c>
      <c r="B15" t="s">
        <v>177</v>
      </c>
      <c r="C15">
        <v>49356</v>
      </c>
      <c r="D15">
        <v>6.0499999999999998E-2</v>
      </c>
      <c r="E15">
        <v>7.2400000000000006E-2</v>
      </c>
      <c r="F15">
        <v>0.4456</v>
      </c>
      <c r="G15">
        <v>1221</v>
      </c>
      <c r="H15">
        <v>0.58250000000000002</v>
      </c>
    </row>
    <row r="16" spans="1:8" x14ac:dyDescent="0.2">
      <c r="A16">
        <v>10005051005</v>
      </c>
      <c r="B16" t="s">
        <v>174</v>
      </c>
      <c r="C16">
        <v>47267</v>
      </c>
      <c r="D16">
        <v>6.83E-2</v>
      </c>
      <c r="E16">
        <v>0.11409999999999999</v>
      </c>
      <c r="F16">
        <v>0.43840000000000001</v>
      </c>
      <c r="G16">
        <v>1386</v>
      </c>
      <c r="H16">
        <v>0.24729999999999999</v>
      </c>
    </row>
    <row r="17" spans="1:8" x14ac:dyDescent="0.2">
      <c r="A17">
        <v>10005050504</v>
      </c>
      <c r="B17" t="s">
        <v>178</v>
      </c>
      <c r="C17">
        <v>46417</v>
      </c>
      <c r="D17">
        <v>0.14069999999999999</v>
      </c>
      <c r="E17">
        <v>0.13669999999999999</v>
      </c>
      <c r="F17">
        <v>0.4244</v>
      </c>
      <c r="G17">
        <v>894</v>
      </c>
      <c r="H17">
        <v>0.34129999999999999</v>
      </c>
    </row>
    <row r="18" spans="1:8" x14ac:dyDescent="0.2">
      <c r="A18">
        <v>10005051201</v>
      </c>
      <c r="B18" t="s">
        <v>177</v>
      </c>
      <c r="C18">
        <v>46103</v>
      </c>
      <c r="D18">
        <v>4.7100000000000003E-2</v>
      </c>
      <c r="E18">
        <v>3.4000000000000002E-2</v>
      </c>
      <c r="F18">
        <v>0.46189999999999998</v>
      </c>
      <c r="G18">
        <v>1116</v>
      </c>
      <c r="H18">
        <v>0.54810000000000003</v>
      </c>
    </row>
    <row r="19" spans="1:8" x14ac:dyDescent="0.2">
      <c r="A19">
        <v>10005050705</v>
      </c>
      <c r="B19" t="s">
        <v>179</v>
      </c>
      <c r="C19">
        <v>46018</v>
      </c>
      <c r="D19">
        <v>8.8800000000000004E-2</v>
      </c>
      <c r="E19">
        <v>0.2218</v>
      </c>
      <c r="F19">
        <v>0.40260000000000001</v>
      </c>
      <c r="G19">
        <v>998</v>
      </c>
      <c r="H19">
        <v>0.57889999999999997</v>
      </c>
    </row>
    <row r="20" spans="1:8" x14ac:dyDescent="0.2">
      <c r="A20">
        <v>10005051006</v>
      </c>
      <c r="B20" t="s">
        <v>174</v>
      </c>
      <c r="C20">
        <v>45896</v>
      </c>
      <c r="D20">
        <v>0.1048</v>
      </c>
      <c r="E20">
        <v>0.13489999999999999</v>
      </c>
      <c r="F20">
        <v>0.52790000000000004</v>
      </c>
      <c r="G20">
        <v>968</v>
      </c>
      <c r="H20">
        <v>0.17530000000000001</v>
      </c>
    </row>
    <row r="21" spans="1:8" x14ac:dyDescent="0.2">
      <c r="A21">
        <v>10001043400</v>
      </c>
      <c r="B21" t="s">
        <v>173</v>
      </c>
      <c r="C21">
        <v>44556</v>
      </c>
      <c r="D21">
        <v>0.114</v>
      </c>
      <c r="E21">
        <v>0.1888</v>
      </c>
      <c r="F21">
        <v>0.42109999999999997</v>
      </c>
      <c r="G21">
        <v>812</v>
      </c>
      <c r="H21">
        <v>0.39150000000000001</v>
      </c>
    </row>
    <row r="22" spans="1:8" x14ac:dyDescent="0.2">
      <c r="A22">
        <v>10005051305</v>
      </c>
      <c r="B22" t="s">
        <v>175</v>
      </c>
      <c r="C22">
        <v>43391</v>
      </c>
      <c r="D22">
        <v>9.4899999999999998E-2</v>
      </c>
      <c r="E22">
        <v>2.5499999999999998E-2</v>
      </c>
      <c r="F22">
        <v>0.4103</v>
      </c>
      <c r="G22">
        <v>1149</v>
      </c>
      <c r="H22">
        <v>0.2432</v>
      </c>
    </row>
    <row r="23" spans="1:8" x14ac:dyDescent="0.2">
      <c r="A23">
        <v>10005050407</v>
      </c>
      <c r="B23" t="s">
        <v>176</v>
      </c>
      <c r="C23">
        <v>43055</v>
      </c>
      <c r="D23">
        <v>0.17810000000000001</v>
      </c>
      <c r="E23">
        <v>0.24929999999999999</v>
      </c>
      <c r="F23">
        <v>0.3891</v>
      </c>
      <c r="G23">
        <v>1001</v>
      </c>
      <c r="H23">
        <v>0.46879999999999999</v>
      </c>
    </row>
    <row r="24" spans="1:8" x14ac:dyDescent="0.2">
      <c r="A24">
        <v>10005051003</v>
      </c>
      <c r="B24" t="s">
        <v>171</v>
      </c>
      <c r="C24">
        <v>42886</v>
      </c>
      <c r="D24">
        <v>6.6299999999999998E-2</v>
      </c>
      <c r="E24">
        <v>0.26889999999999997</v>
      </c>
      <c r="F24">
        <v>0.39629999999999999</v>
      </c>
      <c r="G24">
        <v>1176</v>
      </c>
      <c r="H24">
        <v>0.17899999999999999</v>
      </c>
    </row>
    <row r="25" spans="1:8" x14ac:dyDescent="0.2">
      <c r="A25">
        <v>10005050803</v>
      </c>
      <c r="B25" t="s">
        <v>174</v>
      </c>
      <c r="C25">
        <v>42115</v>
      </c>
      <c r="D25">
        <v>7.0000000000000007E-2</v>
      </c>
      <c r="E25">
        <v>0.13619999999999999</v>
      </c>
      <c r="F25">
        <v>0.39460000000000001</v>
      </c>
      <c r="G25">
        <v>1299</v>
      </c>
      <c r="H25">
        <v>0.15970000000000001</v>
      </c>
    </row>
    <row r="26" spans="1:8" x14ac:dyDescent="0.2">
      <c r="A26">
        <v>10001042900</v>
      </c>
      <c r="B26" t="s">
        <v>180</v>
      </c>
      <c r="C26">
        <v>42077</v>
      </c>
      <c r="D26">
        <v>8.9200000000000002E-2</v>
      </c>
      <c r="E26">
        <v>0.2462</v>
      </c>
      <c r="F26">
        <v>0.46760000000000002</v>
      </c>
      <c r="G26">
        <v>1031</v>
      </c>
      <c r="H26">
        <v>0.14019999999999999</v>
      </c>
    </row>
    <row r="27" spans="1:8" x14ac:dyDescent="0.2">
      <c r="A27">
        <v>10005051702</v>
      </c>
      <c r="B27" t="s">
        <v>181</v>
      </c>
      <c r="C27">
        <v>41893</v>
      </c>
      <c r="D27">
        <v>9.1999999999999998E-2</v>
      </c>
      <c r="E27">
        <v>0.22750000000000001</v>
      </c>
      <c r="F27">
        <v>0.42770000000000002</v>
      </c>
      <c r="G27">
        <v>1032</v>
      </c>
      <c r="H27">
        <v>0.1515</v>
      </c>
    </row>
    <row r="28" spans="1:8" x14ac:dyDescent="0.2">
      <c r="A28">
        <v>10005051701</v>
      </c>
      <c r="B28" t="s">
        <v>181</v>
      </c>
      <c r="C28">
        <v>41666</v>
      </c>
      <c r="D28">
        <v>6.6600000000000006E-2</v>
      </c>
      <c r="E28">
        <v>0.23530000000000001</v>
      </c>
      <c r="F28">
        <v>0.51459999999999995</v>
      </c>
      <c r="G28">
        <v>938</v>
      </c>
      <c r="H28">
        <v>0.28649999999999998</v>
      </c>
    </row>
    <row r="29" spans="1:8" x14ac:dyDescent="0.2">
      <c r="A29">
        <v>10001042800</v>
      </c>
      <c r="B29" t="s">
        <v>182</v>
      </c>
      <c r="C29">
        <v>41621</v>
      </c>
      <c r="D29">
        <v>0.12870000000000001</v>
      </c>
      <c r="E29">
        <v>0.2346</v>
      </c>
      <c r="F29">
        <v>0.47499999999999998</v>
      </c>
      <c r="G29">
        <v>888</v>
      </c>
      <c r="H29">
        <v>0.25719999999999998</v>
      </c>
    </row>
    <row r="30" spans="1:8" x14ac:dyDescent="0.2">
      <c r="A30">
        <v>10005050802</v>
      </c>
      <c r="B30" t="s">
        <v>183</v>
      </c>
      <c r="C30">
        <v>41302</v>
      </c>
      <c r="D30">
        <v>7.7100000000000002E-2</v>
      </c>
      <c r="E30">
        <v>0.1295</v>
      </c>
      <c r="F30">
        <v>0.41610000000000003</v>
      </c>
      <c r="G30">
        <v>1228</v>
      </c>
      <c r="H30">
        <v>0.18329999999999999</v>
      </c>
    </row>
    <row r="31" spans="1:8" x14ac:dyDescent="0.2">
      <c r="A31">
        <v>10005051900</v>
      </c>
      <c r="B31" t="s">
        <v>184</v>
      </c>
      <c r="C31">
        <v>41126</v>
      </c>
      <c r="D31">
        <v>0.1472</v>
      </c>
      <c r="E31">
        <v>0.28649999999999998</v>
      </c>
      <c r="F31">
        <v>0.4446</v>
      </c>
      <c r="G31">
        <v>846</v>
      </c>
      <c r="H31">
        <v>0.47060000000000002</v>
      </c>
    </row>
    <row r="32" spans="1:8" x14ac:dyDescent="0.2">
      <c r="A32">
        <v>10005051801</v>
      </c>
      <c r="B32" t="s">
        <v>185</v>
      </c>
      <c r="C32">
        <v>40111</v>
      </c>
      <c r="D32">
        <v>0.1396</v>
      </c>
      <c r="E32">
        <v>0.20230000000000001</v>
      </c>
      <c r="F32">
        <v>0.50939999999999996</v>
      </c>
      <c r="G32">
        <v>866</v>
      </c>
      <c r="H32">
        <v>0.53910000000000002</v>
      </c>
    </row>
    <row r="33" spans="1:8" x14ac:dyDescent="0.2">
      <c r="A33">
        <v>10001043202</v>
      </c>
      <c r="B33" t="s">
        <v>186</v>
      </c>
      <c r="C33">
        <v>40057</v>
      </c>
      <c r="D33">
        <v>8.6699999999999999E-2</v>
      </c>
      <c r="E33">
        <v>0.2364</v>
      </c>
      <c r="F33">
        <v>0.41239999999999999</v>
      </c>
      <c r="G33">
        <v>868</v>
      </c>
      <c r="H33">
        <v>0.40389999999999998</v>
      </c>
    </row>
    <row r="34" spans="1:8" x14ac:dyDescent="0.2">
      <c r="A34">
        <v>10001043100</v>
      </c>
      <c r="B34" t="s">
        <v>187</v>
      </c>
      <c r="C34">
        <v>40016</v>
      </c>
      <c r="D34">
        <v>0.12540000000000001</v>
      </c>
      <c r="E34">
        <v>0.21149999999999999</v>
      </c>
      <c r="F34">
        <v>0.4718</v>
      </c>
      <c r="G34">
        <v>965</v>
      </c>
      <c r="H34">
        <v>0.35639999999999999</v>
      </c>
    </row>
    <row r="35" spans="1:8" x14ac:dyDescent="0.2">
      <c r="A35">
        <v>10005050501</v>
      </c>
      <c r="B35" t="s">
        <v>178</v>
      </c>
      <c r="C35">
        <v>39958</v>
      </c>
      <c r="D35">
        <v>4.8000000000000001E-2</v>
      </c>
      <c r="E35">
        <v>0.2467</v>
      </c>
      <c r="F35">
        <v>0.41389999999999999</v>
      </c>
      <c r="G35">
        <v>832</v>
      </c>
      <c r="H35">
        <v>0.3125</v>
      </c>
    </row>
    <row r="36" spans="1:8" x14ac:dyDescent="0.2">
      <c r="A36">
        <v>10005050104</v>
      </c>
      <c r="B36" t="s">
        <v>173</v>
      </c>
      <c r="C36">
        <v>39886</v>
      </c>
      <c r="D36">
        <v>0.17810000000000001</v>
      </c>
      <c r="E36">
        <v>0.2102</v>
      </c>
      <c r="F36">
        <v>0.46089999999999998</v>
      </c>
      <c r="G36">
        <v>900</v>
      </c>
      <c r="H36">
        <v>0.33729999999999999</v>
      </c>
    </row>
    <row r="37" spans="1:8" x14ac:dyDescent="0.2">
      <c r="A37">
        <v>10005050302</v>
      </c>
      <c r="B37" t="s">
        <v>188</v>
      </c>
      <c r="C37">
        <v>39467</v>
      </c>
      <c r="D37">
        <v>0.15479999999999999</v>
      </c>
      <c r="E37">
        <v>0.2626</v>
      </c>
      <c r="F37">
        <v>0.43269999999999997</v>
      </c>
      <c r="G37">
        <v>750</v>
      </c>
      <c r="H37">
        <v>0.32369999999999999</v>
      </c>
    </row>
    <row r="38" spans="1:8" x14ac:dyDescent="0.2">
      <c r="A38">
        <v>10005051500</v>
      </c>
      <c r="B38" t="s">
        <v>172</v>
      </c>
      <c r="C38">
        <v>39463</v>
      </c>
      <c r="D38">
        <v>0.1129</v>
      </c>
      <c r="E38">
        <v>0.27589999999999998</v>
      </c>
      <c r="F38">
        <v>0.31459999999999999</v>
      </c>
      <c r="G38">
        <v>892</v>
      </c>
      <c r="H38">
        <v>0.39040000000000002</v>
      </c>
    </row>
    <row r="39" spans="1:8" x14ac:dyDescent="0.2">
      <c r="A39">
        <v>10005050503</v>
      </c>
      <c r="B39" t="s">
        <v>178</v>
      </c>
      <c r="C39">
        <v>39193</v>
      </c>
      <c r="D39">
        <v>0.24060000000000001</v>
      </c>
      <c r="E39">
        <v>0.2457</v>
      </c>
      <c r="F39">
        <v>0.39219999999999999</v>
      </c>
      <c r="G39">
        <v>822</v>
      </c>
      <c r="H39">
        <v>0.32090000000000002</v>
      </c>
    </row>
    <row r="40" spans="1:8" x14ac:dyDescent="0.2">
      <c r="A40">
        <v>10005050403</v>
      </c>
      <c r="B40" t="s">
        <v>176</v>
      </c>
      <c r="C40">
        <v>39123</v>
      </c>
      <c r="D40">
        <v>0.1109</v>
      </c>
      <c r="E40">
        <v>0.2487</v>
      </c>
      <c r="F40">
        <v>0.36309999999999998</v>
      </c>
      <c r="G40">
        <v>979</v>
      </c>
      <c r="H40">
        <v>0.47889999999999999</v>
      </c>
    </row>
    <row r="41" spans="1:8" x14ac:dyDescent="0.2">
      <c r="A41">
        <v>10005051302</v>
      </c>
      <c r="B41" t="s">
        <v>189</v>
      </c>
      <c r="C41">
        <v>38757</v>
      </c>
      <c r="D41">
        <v>0.20300000000000001</v>
      </c>
      <c r="E41">
        <v>0.1762</v>
      </c>
      <c r="F41">
        <v>0.45760000000000001</v>
      </c>
      <c r="G41">
        <v>1081</v>
      </c>
      <c r="H41">
        <v>0.30259999999999998</v>
      </c>
    </row>
    <row r="42" spans="1:8" x14ac:dyDescent="0.2">
      <c r="A42">
        <v>10005050704</v>
      </c>
      <c r="B42" t="s">
        <v>179</v>
      </c>
      <c r="C42">
        <v>38756</v>
      </c>
      <c r="D42">
        <v>9.6000000000000002E-2</v>
      </c>
      <c r="E42">
        <v>0.18659999999999999</v>
      </c>
      <c r="F42">
        <v>0.34549999999999997</v>
      </c>
      <c r="G42">
        <v>1000</v>
      </c>
      <c r="H42">
        <v>0.52129999999999999</v>
      </c>
    </row>
    <row r="43" spans="1:8" x14ac:dyDescent="0.2">
      <c r="A43">
        <v>10005050602</v>
      </c>
      <c r="B43" t="s">
        <v>179</v>
      </c>
      <c r="C43">
        <v>38710</v>
      </c>
      <c r="D43">
        <v>0.2208</v>
      </c>
      <c r="E43">
        <v>0.32240000000000002</v>
      </c>
      <c r="F43">
        <v>0.42799999999999999</v>
      </c>
      <c r="G43">
        <v>805</v>
      </c>
      <c r="H43">
        <v>0.4274</v>
      </c>
    </row>
    <row r="44" spans="1:8" x14ac:dyDescent="0.2">
      <c r="A44">
        <v>10005050301</v>
      </c>
      <c r="B44" t="s">
        <v>188</v>
      </c>
      <c r="C44">
        <v>38495</v>
      </c>
      <c r="D44">
        <v>0.22189999999999999</v>
      </c>
      <c r="E44">
        <v>0.30520000000000003</v>
      </c>
      <c r="F44">
        <v>0.4365</v>
      </c>
      <c r="G44">
        <v>839</v>
      </c>
      <c r="H44">
        <v>0.41149999999999998</v>
      </c>
    </row>
    <row r="45" spans="1:8" x14ac:dyDescent="0.2">
      <c r="A45">
        <v>10005050601</v>
      </c>
      <c r="B45" t="s">
        <v>179</v>
      </c>
      <c r="C45">
        <v>38313</v>
      </c>
      <c r="D45">
        <v>0.18129999999999999</v>
      </c>
      <c r="E45">
        <v>0.20330000000000001</v>
      </c>
      <c r="F45">
        <v>0.45810000000000001</v>
      </c>
      <c r="G45">
        <v>884</v>
      </c>
      <c r="H45">
        <v>0.33629999999999999</v>
      </c>
    </row>
    <row r="46" spans="1:8" x14ac:dyDescent="0.2">
      <c r="A46">
        <v>10005050701</v>
      </c>
      <c r="B46" t="s">
        <v>179</v>
      </c>
      <c r="C46">
        <v>38260</v>
      </c>
      <c r="D46">
        <v>0.1338</v>
      </c>
      <c r="E46">
        <v>0.25109999999999999</v>
      </c>
      <c r="F46">
        <v>0.37509999999999999</v>
      </c>
      <c r="G46">
        <v>823</v>
      </c>
      <c r="H46">
        <v>0.42399999999999999</v>
      </c>
    </row>
    <row r="47" spans="1:8" x14ac:dyDescent="0.2">
      <c r="A47">
        <v>10005050801</v>
      </c>
      <c r="B47" t="s">
        <v>190</v>
      </c>
      <c r="C47">
        <v>36923</v>
      </c>
      <c r="D47">
        <v>9.4600000000000004E-2</v>
      </c>
      <c r="E47">
        <v>0.20399999999999999</v>
      </c>
      <c r="F47">
        <v>0.39779999999999999</v>
      </c>
      <c r="G47">
        <v>716</v>
      </c>
      <c r="H47">
        <v>0.42609999999999998</v>
      </c>
    </row>
    <row r="48" spans="1:8" x14ac:dyDescent="0.2">
      <c r="A48">
        <v>10005051802</v>
      </c>
      <c r="B48" t="s">
        <v>181</v>
      </c>
      <c r="C48">
        <v>36649</v>
      </c>
      <c r="D48">
        <v>0.26419999999999999</v>
      </c>
      <c r="E48">
        <v>0.2757</v>
      </c>
      <c r="F48">
        <v>0.36699999999999999</v>
      </c>
      <c r="G48">
        <v>718</v>
      </c>
      <c r="H48">
        <v>0.56759999999999999</v>
      </c>
    </row>
    <row r="49" spans="1:8" x14ac:dyDescent="0.2">
      <c r="A49">
        <v>10001043000</v>
      </c>
      <c r="B49" t="s">
        <v>187</v>
      </c>
      <c r="C49">
        <v>36636</v>
      </c>
      <c r="D49">
        <v>0.16650000000000001</v>
      </c>
      <c r="E49">
        <v>0.33850000000000002</v>
      </c>
      <c r="F49">
        <v>0.43759999999999999</v>
      </c>
      <c r="G49">
        <v>879</v>
      </c>
      <c r="H49">
        <v>0.66720000000000002</v>
      </c>
    </row>
    <row r="50" spans="1:8" x14ac:dyDescent="0.2">
      <c r="A50">
        <v>10005050703</v>
      </c>
      <c r="B50" t="s">
        <v>179</v>
      </c>
      <c r="C50">
        <v>35470</v>
      </c>
      <c r="D50">
        <v>0.1585</v>
      </c>
      <c r="E50">
        <v>0.22600000000000001</v>
      </c>
      <c r="F50">
        <v>0.37019999999999997</v>
      </c>
      <c r="G50">
        <v>923</v>
      </c>
      <c r="H50">
        <v>0.40310000000000001</v>
      </c>
    </row>
    <row r="51" spans="1:8" x14ac:dyDescent="0.2">
      <c r="A51">
        <v>10001042500</v>
      </c>
      <c r="B51" t="s">
        <v>173</v>
      </c>
      <c r="C51">
        <v>34703</v>
      </c>
      <c r="D51">
        <v>0.20549999999999999</v>
      </c>
      <c r="E51">
        <v>0.29549999999999998</v>
      </c>
      <c r="F51">
        <v>0.31419999999999998</v>
      </c>
      <c r="G51">
        <v>775</v>
      </c>
      <c r="H51">
        <v>0.55800000000000005</v>
      </c>
    </row>
    <row r="52" spans="1:8" x14ac:dyDescent="0.2">
      <c r="A52">
        <v>10005050706</v>
      </c>
      <c r="B52" t="s">
        <v>191</v>
      </c>
      <c r="C52">
        <v>34571</v>
      </c>
      <c r="D52">
        <v>5.4899999999999997E-2</v>
      </c>
      <c r="E52">
        <v>0.1983</v>
      </c>
      <c r="F52">
        <v>0.34179999999999999</v>
      </c>
      <c r="G52">
        <v>960</v>
      </c>
      <c r="H52">
        <v>0.35049999999999998</v>
      </c>
    </row>
    <row r="53" spans="1:8" x14ac:dyDescent="0.2">
      <c r="A53">
        <v>10005050105</v>
      </c>
      <c r="B53" t="s">
        <v>192</v>
      </c>
      <c r="C53">
        <v>34066</v>
      </c>
      <c r="D53">
        <v>0.17050000000000001</v>
      </c>
      <c r="E53">
        <v>0.21890000000000001</v>
      </c>
      <c r="F53">
        <v>0.33450000000000002</v>
      </c>
      <c r="G53">
        <v>916</v>
      </c>
      <c r="H53">
        <v>0.35580000000000001</v>
      </c>
    </row>
    <row r="54" spans="1:8" x14ac:dyDescent="0.2">
      <c r="A54">
        <v>10005051400</v>
      </c>
      <c r="B54" t="s">
        <v>175</v>
      </c>
      <c r="C54">
        <v>33365</v>
      </c>
      <c r="D54">
        <v>0.1409</v>
      </c>
      <c r="E54">
        <v>0.39689999999999998</v>
      </c>
      <c r="F54">
        <v>0.29039999999999999</v>
      </c>
      <c r="G54">
        <v>752</v>
      </c>
      <c r="H54">
        <v>0.42680000000000001</v>
      </c>
    </row>
    <row r="55" spans="1:8" x14ac:dyDescent="0.2">
      <c r="A55">
        <v>10005050406</v>
      </c>
      <c r="B55" t="s">
        <v>176</v>
      </c>
      <c r="C55">
        <v>33179</v>
      </c>
      <c r="D55">
        <v>0.29580000000000001</v>
      </c>
      <c r="E55">
        <v>0.29609999999999997</v>
      </c>
      <c r="F55">
        <v>0.31340000000000001</v>
      </c>
      <c r="G55">
        <v>798</v>
      </c>
      <c r="H55">
        <v>0.40460000000000002</v>
      </c>
    </row>
    <row r="56" spans="1:8" x14ac:dyDescent="0.2">
      <c r="A56">
        <v>10005050408</v>
      </c>
      <c r="B56" t="s">
        <v>176</v>
      </c>
      <c r="C56">
        <v>31429</v>
      </c>
      <c r="D56">
        <v>0.1585</v>
      </c>
      <c r="E56">
        <v>0.32040000000000002</v>
      </c>
      <c r="F56">
        <v>0.30530000000000002</v>
      </c>
      <c r="G56">
        <v>987</v>
      </c>
      <c r="H56">
        <v>0.31409999999999999</v>
      </c>
    </row>
    <row r="57" spans="1:8" x14ac:dyDescent="0.2">
      <c r="A57">
        <v>10005050200</v>
      </c>
      <c r="B57" t="s">
        <v>193</v>
      </c>
      <c r="C57">
        <v>31008</v>
      </c>
      <c r="D57">
        <v>0.24249999999999999</v>
      </c>
      <c r="E57">
        <v>0.34849999999999998</v>
      </c>
      <c r="F57">
        <v>0.34560000000000002</v>
      </c>
      <c r="G57">
        <v>831</v>
      </c>
      <c r="H57">
        <v>0.48010000000000003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1:J21"/>
  <sheetViews>
    <sheetView workbookViewId="0">
      <selection activeCell="K23" sqref="K23"/>
    </sheetView>
  </sheetViews>
  <sheetFormatPr baseColWidth="10" defaultRowHeight="16" x14ac:dyDescent="0.2"/>
  <cols>
    <col min="2" max="2" width="15.33203125" customWidth="1"/>
    <col min="4" max="4" width="13.33203125" customWidth="1"/>
  </cols>
  <sheetData>
    <row r="1" spans="2:10" x14ac:dyDescent="0.2">
      <c r="B1" t="s">
        <v>146</v>
      </c>
    </row>
    <row r="2" spans="2:10" ht="17" thickBot="1" x14ac:dyDescent="0.25"/>
    <row r="3" spans="2:10" x14ac:dyDescent="0.2">
      <c r="B3" s="4" t="s">
        <v>147</v>
      </c>
      <c r="C3" s="4"/>
    </row>
    <row r="4" spans="2:10" x14ac:dyDescent="0.2">
      <c r="B4" s="1" t="s">
        <v>148</v>
      </c>
      <c r="C4" s="1">
        <v>0.69039374506755391</v>
      </c>
    </row>
    <row r="5" spans="2:10" x14ac:dyDescent="0.2">
      <c r="B5" s="1" t="s">
        <v>149</v>
      </c>
      <c r="C5" s="1">
        <v>0.47664352322840264</v>
      </c>
    </row>
    <row r="6" spans="2:10" x14ac:dyDescent="0.2">
      <c r="B6" s="1" t="s">
        <v>150</v>
      </c>
      <c r="C6" s="1">
        <v>0.43559595642278715</v>
      </c>
    </row>
    <row r="7" spans="2:10" x14ac:dyDescent="0.2">
      <c r="B7" s="1" t="s">
        <v>151</v>
      </c>
      <c r="C7" s="1">
        <v>4.6507872867214951E-2</v>
      </c>
    </row>
    <row r="8" spans="2:10" ht="17" thickBot="1" x14ac:dyDescent="0.25">
      <c r="B8" s="2" t="s">
        <v>152</v>
      </c>
      <c r="C8" s="2">
        <v>56</v>
      </c>
    </row>
    <row r="10" spans="2:10" ht="17" thickBot="1" x14ac:dyDescent="0.25">
      <c r="B10" t="s">
        <v>153</v>
      </c>
    </row>
    <row r="11" spans="2:10" x14ac:dyDescent="0.2">
      <c r="B11" s="3"/>
      <c r="C11" s="3" t="s">
        <v>158</v>
      </c>
      <c r="D11" s="3" t="s">
        <v>159</v>
      </c>
      <c r="E11" s="3" t="s">
        <v>160</v>
      </c>
      <c r="F11" s="3" t="s">
        <v>161</v>
      </c>
      <c r="G11" s="3" t="s">
        <v>162</v>
      </c>
    </row>
    <row r="12" spans="2:10" x14ac:dyDescent="0.2">
      <c r="B12" s="1" t="s">
        <v>154</v>
      </c>
      <c r="C12" s="1">
        <v>4</v>
      </c>
      <c r="D12" s="1">
        <v>0.10046602565114413</v>
      </c>
      <c r="E12" s="1">
        <v>2.5116506412786031E-2</v>
      </c>
      <c r="F12" s="1">
        <v>11.611979961823115</v>
      </c>
      <c r="G12" s="1">
        <v>8.8799444391498201E-7</v>
      </c>
    </row>
    <row r="13" spans="2:10" x14ac:dyDescent="0.2">
      <c r="B13" s="1" t="s">
        <v>155</v>
      </c>
      <c r="C13" s="1">
        <v>51</v>
      </c>
      <c r="D13" s="1">
        <v>0.11031209417028445</v>
      </c>
      <c r="E13" s="1">
        <v>2.1629822386330286E-3</v>
      </c>
      <c r="F13" s="1"/>
      <c r="G13" s="1"/>
    </row>
    <row r="14" spans="2:10" ht="17" thickBot="1" x14ac:dyDescent="0.25">
      <c r="B14" s="2" t="s">
        <v>156</v>
      </c>
      <c r="C14" s="2">
        <v>55</v>
      </c>
      <c r="D14" s="2">
        <v>0.21077811982142858</v>
      </c>
      <c r="E14" s="2"/>
      <c r="F14" s="2"/>
      <c r="G14" s="2"/>
    </row>
    <row r="15" spans="2:10" ht="17" thickBot="1" x14ac:dyDescent="0.25"/>
    <row r="16" spans="2:10" x14ac:dyDescent="0.2">
      <c r="B16" s="3"/>
      <c r="C16" s="3" t="s">
        <v>163</v>
      </c>
      <c r="D16" s="3" t="s">
        <v>151</v>
      </c>
      <c r="E16" s="3" t="s">
        <v>164</v>
      </c>
      <c r="F16" s="3" t="s">
        <v>165</v>
      </c>
      <c r="G16" s="3" t="s">
        <v>166</v>
      </c>
      <c r="H16" s="3" t="s">
        <v>167</v>
      </c>
      <c r="I16" s="3" t="s">
        <v>168</v>
      </c>
      <c r="J16" s="3" t="s">
        <v>169</v>
      </c>
    </row>
    <row r="17" spans="2:10" x14ac:dyDescent="0.2">
      <c r="B17" s="1" t="s">
        <v>157</v>
      </c>
      <c r="C17" s="1">
        <v>0.28058739159457918</v>
      </c>
      <c r="D17" s="1">
        <v>8.7437043979924939E-2</v>
      </c>
      <c r="E17" s="1">
        <v>3.2090219296411768</v>
      </c>
      <c r="F17" s="1">
        <v>2.3043876113216914E-3</v>
      </c>
      <c r="G17" s="1">
        <v>0.10505020117608999</v>
      </c>
      <c r="H17" s="1">
        <v>0.45612458201306838</v>
      </c>
      <c r="I17" s="1">
        <v>0.10505020117608999</v>
      </c>
      <c r="J17" s="1">
        <v>0.45612458201306838</v>
      </c>
    </row>
    <row r="18" spans="2:10" x14ac:dyDescent="0.2">
      <c r="B18" s="1" t="s">
        <v>141</v>
      </c>
      <c r="C18" s="1">
        <v>0.18075104362036915</v>
      </c>
      <c r="D18" s="1">
        <v>0.10286259545159891</v>
      </c>
      <c r="E18" s="1">
        <v>1.7572086609988367</v>
      </c>
      <c r="F18" s="1">
        <v>8.4883994322847725E-2</v>
      </c>
      <c r="G18" s="1">
        <v>-2.5754233580824265E-2</v>
      </c>
      <c r="H18" s="1">
        <v>0.38725632082156258</v>
      </c>
      <c r="I18" s="1">
        <v>-2.5754233580824265E-2</v>
      </c>
      <c r="J18" s="1">
        <v>0.38725632082156258</v>
      </c>
    </row>
    <row r="19" spans="2:10" x14ac:dyDescent="0.2">
      <c r="B19" s="1" t="s">
        <v>142</v>
      </c>
      <c r="C19" s="1">
        <v>-0.12255759750477402</v>
      </c>
      <c r="D19" s="1">
        <v>0.11446683922610812</v>
      </c>
      <c r="E19" s="1">
        <v>-1.070682114867207</v>
      </c>
      <c r="F19" s="1">
        <v>0.28935338063558869</v>
      </c>
      <c r="G19" s="1">
        <v>-0.35235936617446068</v>
      </c>
      <c r="H19" s="1">
        <v>0.10724417116491264</v>
      </c>
      <c r="I19" s="1">
        <v>-0.35235936617446068</v>
      </c>
      <c r="J19" s="1">
        <v>0.10724417116491264</v>
      </c>
    </row>
    <row r="20" spans="2:10" x14ac:dyDescent="0.2">
      <c r="B20" s="1" t="s">
        <v>143</v>
      </c>
      <c r="C20" s="1">
        <v>-1.4850237429608814E-4</v>
      </c>
      <c r="D20" s="1">
        <v>5.2101903352662125E-5</v>
      </c>
      <c r="E20" s="1">
        <v>-2.8502293532526095</v>
      </c>
      <c r="F20" s="1">
        <v>6.2889705192930925E-3</v>
      </c>
      <c r="G20" s="1">
        <v>-2.531013098694568E-4</v>
      </c>
      <c r="H20" s="1">
        <v>-4.3903438722719466E-5</v>
      </c>
      <c r="I20" s="1">
        <v>-2.531013098694568E-4</v>
      </c>
      <c r="J20" s="1">
        <v>-4.3903438722719466E-5</v>
      </c>
    </row>
    <row r="21" spans="2:10" ht="17" thickBot="1" x14ac:dyDescent="0.25">
      <c r="B21" s="2" t="s">
        <v>145</v>
      </c>
      <c r="C21" s="2">
        <v>9.9552660697180793E-3</v>
      </c>
      <c r="D21" s="2">
        <v>4.1210586947447142E-2</v>
      </c>
      <c r="E21" s="2">
        <v>0.2415705964686527</v>
      </c>
      <c r="F21" s="2">
        <v>0.81008157910818779</v>
      </c>
      <c r="G21" s="2">
        <v>-7.2778439451166382E-2</v>
      </c>
      <c r="H21" s="2">
        <v>9.2688971590602548E-2</v>
      </c>
      <c r="I21" s="2">
        <v>-7.2778439451166382E-2</v>
      </c>
      <c r="J21" s="2">
        <v>9.2688971590602548E-2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8"/>
  <sheetViews>
    <sheetView workbookViewId="0">
      <selection sqref="A1:I21"/>
    </sheetView>
  </sheetViews>
  <sheetFormatPr baseColWidth="10" defaultRowHeight="16" x14ac:dyDescent="0.2"/>
  <sheetData>
    <row r="1" spans="1:9" x14ac:dyDescent="0.2">
      <c r="A1" t="s">
        <v>146</v>
      </c>
    </row>
    <row r="2" spans="1:9" ht="17" thickBot="1" x14ac:dyDescent="0.25"/>
    <row r="3" spans="1:9" x14ac:dyDescent="0.2">
      <c r="A3" s="4" t="s">
        <v>147</v>
      </c>
      <c r="B3" s="4"/>
    </row>
    <row r="4" spans="1:9" x14ac:dyDescent="0.2">
      <c r="A4" s="1" t="s">
        <v>148</v>
      </c>
      <c r="B4" s="1">
        <v>0.33751363592059946</v>
      </c>
    </row>
    <row r="5" spans="1:9" x14ac:dyDescent="0.2">
      <c r="A5" s="1" t="s">
        <v>149</v>
      </c>
      <c r="B5" s="1">
        <v>0.11391545443234298</v>
      </c>
    </row>
    <row r="6" spans="1:9" x14ac:dyDescent="0.2">
      <c r="A6" s="1" t="s">
        <v>150</v>
      </c>
      <c r="B6" s="1">
        <v>9.7506481366275266E-2</v>
      </c>
    </row>
    <row r="7" spans="1:9" x14ac:dyDescent="0.2">
      <c r="A7" s="1" t="s">
        <v>151</v>
      </c>
      <c r="B7" s="1">
        <v>0.15639178928654318</v>
      </c>
    </row>
    <row r="8" spans="1:9" ht="17" thickBot="1" x14ac:dyDescent="0.25">
      <c r="A8" s="2" t="s">
        <v>152</v>
      </c>
      <c r="B8" s="2">
        <v>56</v>
      </c>
    </row>
    <row r="10" spans="1:9" ht="17" thickBot="1" x14ac:dyDescent="0.25">
      <c r="A10" t="s">
        <v>153</v>
      </c>
    </row>
    <row r="11" spans="1:9" x14ac:dyDescent="0.2">
      <c r="A11" s="3"/>
      <c r="B11" s="3" t="s">
        <v>158</v>
      </c>
      <c r="C11" s="3" t="s">
        <v>159</v>
      </c>
      <c r="D11" s="3" t="s">
        <v>160</v>
      </c>
      <c r="E11" s="3" t="s">
        <v>161</v>
      </c>
      <c r="F11" s="3" t="s">
        <v>162</v>
      </c>
    </row>
    <row r="12" spans="1:9" x14ac:dyDescent="0.2">
      <c r="A12" s="1" t="s">
        <v>154</v>
      </c>
      <c r="B12" s="1">
        <v>1</v>
      </c>
      <c r="C12" s="1">
        <v>0.1697966594484015</v>
      </c>
      <c r="D12" s="1">
        <v>0.1697966594484015</v>
      </c>
      <c r="E12" s="1">
        <v>6.9422659159524054</v>
      </c>
      <c r="F12" s="1">
        <v>1.0962800452439926E-2</v>
      </c>
    </row>
    <row r="13" spans="1:9" x14ac:dyDescent="0.2">
      <c r="A13" s="1" t="s">
        <v>155</v>
      </c>
      <c r="B13" s="1">
        <v>54</v>
      </c>
      <c r="C13" s="1">
        <v>1.3207531548373121</v>
      </c>
      <c r="D13" s="1">
        <v>2.445839175624652E-2</v>
      </c>
      <c r="E13" s="1"/>
      <c r="F13" s="1"/>
    </row>
    <row r="14" spans="1:9" ht="17" thickBot="1" x14ac:dyDescent="0.25">
      <c r="A14" s="2" t="s">
        <v>156</v>
      </c>
      <c r="B14" s="2">
        <v>55</v>
      </c>
      <c r="C14" s="2">
        <v>1.4905498142857136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163</v>
      </c>
      <c r="C16" s="3" t="s">
        <v>151</v>
      </c>
      <c r="D16" s="3" t="s">
        <v>164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x14ac:dyDescent="0.2">
      <c r="A17" s="1" t="s">
        <v>157</v>
      </c>
      <c r="B17" s="1">
        <v>0.23722617000760571</v>
      </c>
      <c r="C17" s="1">
        <v>5.0522614666958565E-2</v>
      </c>
      <c r="D17" s="1">
        <v>4.6954452292578983</v>
      </c>
      <c r="E17" s="1">
        <v>1.8649310928852957E-5</v>
      </c>
      <c r="F17" s="1">
        <v>0.13593442627671432</v>
      </c>
      <c r="G17" s="1">
        <v>0.3385179137384971</v>
      </c>
      <c r="H17" s="1">
        <v>0.13593442627671432</v>
      </c>
      <c r="I17" s="1">
        <v>0.3385179137384971</v>
      </c>
    </row>
    <row r="18" spans="1:9" ht="17" thickBot="1" x14ac:dyDescent="0.25">
      <c r="A18" s="2" t="s">
        <v>141</v>
      </c>
      <c r="B18" s="2">
        <v>0.61231263517778389</v>
      </c>
      <c r="C18" s="2">
        <v>0.23239276267698269</v>
      </c>
      <c r="D18" s="2">
        <v>2.6348180043320699</v>
      </c>
      <c r="E18" s="2">
        <v>1.0962800452439764E-2</v>
      </c>
      <c r="F18" s="2">
        <v>0.14639319856189859</v>
      </c>
      <c r="G18" s="2">
        <v>1.0782320717936691</v>
      </c>
      <c r="H18" s="2">
        <v>0.14639319856189859</v>
      </c>
      <c r="I18" s="2">
        <v>1.0782320717936691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 Raw Data</vt:lpstr>
      <vt:lpstr>Balt Sussex Combined</vt:lpstr>
      <vt:lpstr>Baltimore</vt:lpstr>
      <vt:lpstr>Balt Poverty</vt:lpstr>
      <vt:lpstr>Balt Teen to Single</vt:lpstr>
      <vt:lpstr>Sussex County</vt:lpstr>
      <vt:lpstr>Sussex Poverty</vt:lpstr>
      <vt:lpstr>Sussex Teen to 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Hurlock</cp:lastModifiedBy>
  <dcterms:created xsi:type="dcterms:W3CDTF">2021-03-02T22:27:18Z</dcterms:created>
  <dcterms:modified xsi:type="dcterms:W3CDTF">2021-03-04T19:35:32Z</dcterms:modified>
</cp:coreProperties>
</file>